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aida\documents\geak4srev\"/>
    </mc:Choice>
  </mc:AlternateContent>
  <xr:revisionPtr revIDLastSave="0" documentId="8_{D3E95BEA-4879-4611-92C7-E0B628497B01}" xr6:coauthVersionLast="47" xr6:coauthVersionMax="47" xr10:uidLastSave="{00000000-0000-0000-0000-000000000000}"/>
  <workbookProtection workbookPassword="94AB" lockStructure="1"/>
  <bookViews>
    <workbookView xWindow="-25710" yWindow="3050" windowWidth="25820" windowHeight="15500" tabRatio="906" activeTab="1" xr2:uid="{6B7E2082-9A2C-4628-8EA5-DFB39AA50E42}"/>
  </bookViews>
  <sheets>
    <sheet name="Projekt" sheetId="1" r:id="rId1"/>
    <sheet name="Gebäudenutzungen" sheetId="44" r:id="rId2"/>
    <sheet name="Dächer und Decken" sheetId="32" r:id="rId3"/>
    <sheet name="Wände" sheetId="3" r:id="rId4"/>
    <sheet name="Fenster und Türen" sheetId="33" r:id="rId5"/>
    <sheet name="Böden" sheetId="34" r:id="rId6"/>
    <sheet name="Wärmebrücken" sheetId="35" r:id="rId7"/>
    <sheet name="Wärmeerzeuger" sheetId="14" r:id="rId8"/>
    <sheet name="Speicher" sheetId="45" r:id="rId9"/>
    <sheet name="Versorgter Bereich Heizung" sheetId="17" r:id="rId10"/>
    <sheet name="Versorgter Bereich Warmwasser" sheetId="36" r:id="rId11"/>
    <sheet name="Verbrauchsdaten HWW" sheetId="30" r:id="rId12"/>
    <sheet name="Geräte und Installationen" sheetId="21" r:id="rId13"/>
    <sheet name="Kleingeräte und Elektronik" sheetId="37" r:id="rId14"/>
    <sheet name="Beleuchtung" sheetId="38" r:id="rId15"/>
    <sheet name="Betriebseinrichtungen und Gerät" sheetId="39" r:id="rId16"/>
    <sheet name="Elektrizitätsprod. ohne PVopti" sheetId="12" r:id="rId17"/>
    <sheet name="Elektrizitätsprod. mit PVopti" sheetId="46" r:id="rId18"/>
    <sheet name="Weitere Verbraucher" sheetId="40" r:id="rId19"/>
    <sheet name="Verbrauchsdaten Elektrizität" sheetId="18" r:id="rId20"/>
    <sheet name="Lüftung" sheetId="43" r:id="rId21"/>
    <sheet name="DropDownData" sheetId="28" state="hidden" r:id="rId22"/>
    <sheet name="WallOpeningParents" sheetId="31" state="hidden" r:id="rId23"/>
  </sheets>
  <externalReferences>
    <externalReference r:id="rId24"/>
    <externalReference r:id="rId25"/>
  </externalReferences>
  <definedNames>
    <definedName name="Anrede">#REF!</definedName>
    <definedName name="ApartmentUsage">#REF!</definedName>
    <definedName name="BasementHeatingLevel">DropDownData!$AF$4:$AF$6</definedName>
    <definedName name="BestKnownWeatherStations">DropDownData!$L$4:$L$43</definedName>
    <definedName name="Boolean">DropDownData!$BO$4:$BO$5</definedName>
    <definedName name="BuildingUsageSubTypes">DropDownData!$R$4</definedName>
    <definedName name="BuildingUsageTypes">DropDownData!$N$4:$N$11</definedName>
    <definedName name="BuildingUsageTypeSelection">Gebäudenutzungen!$B$5:$D$5</definedName>
    <definedName name="BüroVerwaltung">DropDownData!$D$4:$D$7</definedName>
    <definedName name="CalculationBase_NoMeter">DropDownData!$X$4:$X$5</definedName>
    <definedName name="CalculationBase_OnlyLump">DropDownData!$AO$4</definedName>
    <definedName name="Condition">#REF!</definedName>
    <definedName name="ConstructionType">DropDownData!$I$4:$I$7</definedName>
    <definedName name="ConsumerMeterType">DropDownData!$CC$4:$CC$5</definedName>
    <definedName name="Country">#REF!</definedName>
    <definedName name="DeviceQualities">#REF!</definedName>
    <definedName name="DeviceQuality">DropDownData!$BN$4:$BN$7</definedName>
    <definedName name="Devices">DropDownData!$BL$4:$BL$24</definedName>
    <definedName name="DeviceType">#REF!</definedName>
    <definedName name="DirectNeighborsCount">#REF!</definedName>
    <definedName name="Einfamilienhaus">DropDownData!$B$4:$B$8</definedName>
    <definedName name="ElectricityProducerType">DropDownData!$BY$4:$BY$5</definedName>
    <definedName name="ElectronicsQualities">DropDownData!$BS$4:$BS$7</definedName>
    <definedName name="EMS_ExpertCode">DropDownData!$CA$4</definedName>
    <definedName name="EnergyManagementSystemType">DropDownData!$CB$4:$CB$6</definedName>
    <definedName name="EnergySource">#REF!</definedName>
    <definedName name="EnergySources">DropDownData!$AQ$4:$AQ$19</definedName>
    <definedName name="ExpansionDegrees">DropDownData!$BQ$4:$BQ$6</definedName>
    <definedName name="ExpertCodes">DropDownData!$BE$4:$BE$9</definedName>
    <definedName name="FacadeStructure">DropDownData!$S$4:$S$6</definedName>
    <definedName name="FanType">DropDownData!$AN$4:$AN$6</definedName>
    <definedName name="FloorHeating">#REF!</definedName>
    <definedName name="FloorType">DropDownData!$AH$4:$AH$11</definedName>
    <definedName name="Flow">#REF!</definedName>
    <definedName name="GeneralCondition">DropDownData!$T$4:$T$7</definedName>
    <definedName name="GroundPlan">#REF!</definedName>
    <definedName name="GroundPlanType">DropDownData!$J$4:$J$5</definedName>
    <definedName name="HeatEmission">DropDownData!$BD$4:$BD$6</definedName>
    <definedName name="HeaterExpertCodes">'Versorgter Bereich Heizung'!$A$10:$A$14</definedName>
    <definedName name="HeatExchangerType">DropDownData!$AM$4:$AM$7</definedName>
    <definedName name="HeatingFlows">DropDownData!$BG$4:$BG$11</definedName>
    <definedName name="HeatingScope">#REF!</definedName>
    <definedName name="HeatingSupplyType">DropDownData!$AU$4:$AU$6</definedName>
    <definedName name="HeatingType">DropDownData!$BC$4:$BC$5</definedName>
    <definedName name="HeatProducerCondition">DropDownData!$AV$4:$AV$6</definedName>
    <definedName name="HeatProducerExpertCodes" localSheetId="8">Speicher!$A$4:$A$8</definedName>
    <definedName name="HeatProducerExpertCodes">Wärmeerzeuger!$A$4:$A$8</definedName>
    <definedName name="HeatProducerOversize">DropDownData!$AR$4:$AR$8</definedName>
    <definedName name="HeatProducerTypes">DropDownData!$AS$4:$AS$31</definedName>
    <definedName name="HeatReservoir">#REF!</definedName>
    <definedName name="HeatUnit">DropDownData!$BK$4:$BK$11</definedName>
    <definedName name="HeizungsspeichervolumeninLiter">DropDownData!$AZ$4:$AZ$5</definedName>
    <definedName name="Hotel">DropDownData!$C$4:$C$10</definedName>
    <definedName name="HotelType">DropDownData!$O$4:$O$10</definedName>
    <definedName name="HpExpertCodes">DropDownData!$AP$4:$AP$8</definedName>
    <definedName name="HydraulicBalance">#REF!</definedName>
    <definedName name="InOutBuilding">#REF!</definedName>
    <definedName name="InOutThermalEnvelope">DropDownData!$AW$4:$AW$5</definedName>
    <definedName name="Land" localSheetId="14">#REF!</definedName>
    <definedName name="Land" localSheetId="15">#REF!</definedName>
    <definedName name="Land" localSheetId="13">#REF!</definedName>
    <definedName name="Land" localSheetId="20">#REF!</definedName>
    <definedName name="Land" localSheetId="10">#REF!</definedName>
    <definedName name="Land" localSheetId="18">#REF!</definedName>
    <definedName name="Land">#REF!</definedName>
    <definedName name="LightingQuality">DropDownData!$BU$4:$BU$7</definedName>
    <definedName name="LightningQualities">#REF!</definedName>
    <definedName name="ManagementUsage">#REF!</definedName>
    <definedName name="Mehrfamilienhaus">DropDownData!$A$4:$A$8</definedName>
    <definedName name="Orientation">DropDownData!$W$4:$W$11</definedName>
    <definedName name="OrientationExtended">#REF!</definedName>
    <definedName name="OrientationH">DropDownData!$AE$4:$AE$12</definedName>
    <definedName name="OrientationHExtended">DropDownData!$AB$4:$AB$13</definedName>
    <definedName name="OtherConsumerType">DropDownData!$BW$4:$BW$5</definedName>
    <definedName name="Oversizing">#REF!</definedName>
    <definedName name="PartialBool">DropDownData!$BF$4:$BF$6</definedName>
    <definedName name="_xlnm.Print_Area" localSheetId="0">Projekt!$A$1:$B$35</definedName>
    <definedName name="Prioritization">DropDownData!$M$4:$M$7</definedName>
    <definedName name="Quality">DropDownData!$BA$4:$BA$7</definedName>
    <definedName name="ReservoirType">DropDownData!$AY$4:$AY$6</definedName>
    <definedName name="Restaurant">DropDownData!$G$4:$G$8</definedName>
    <definedName name="RestaurantType">DropDownData!$P$4:$P$10</definedName>
    <definedName name="RoofCeilingType">DropDownData!$AA$4:$AA$10</definedName>
    <definedName name="RoofType">DropDownData!$Y$4:$Y$8</definedName>
    <definedName name="RoomsOrientation">#REF!</definedName>
    <definedName name="SchoolUsage">#REF!</definedName>
    <definedName name="Schule">DropDownData!$E$4:$E$13</definedName>
    <definedName name="ShopType">DropDownData!$Q$4:$Q$9</definedName>
    <definedName name="SpExpertCodes">DropDownData!$AX$4:$AX$13</definedName>
    <definedName name="StandardVentilationType">DropDownData!$AL$4:$AL$12</definedName>
    <definedName name="SubtractOpeningAreas">#REF!</definedName>
    <definedName name="SuppliedDistributionSystem">#REF!</definedName>
    <definedName name="SuppliedDistributionSystems">DropDownData!$AT$4:$AT$7</definedName>
    <definedName name="ThermalBridgeType">DropDownData!$AJ$4:$AJ$15</definedName>
    <definedName name="ThermallyInsulated">#REF!</definedName>
    <definedName name="Title">DropDownData!$H$4:$H$13</definedName>
    <definedName name="UnknownBool">DropDownData!$BH$4:$BH$6</definedName>
    <definedName name="Verkauf">DropDownData!$F$4:$F$11</definedName>
    <definedName name="WallOpeningParentCodes">OFFSET(WallOpeningParents!$B$1,0,0,SUMPRODUCT(--(WallOpeningParents!$B:$B&lt;&gt;"")),1)</definedName>
    <definedName name="WallOpeningType">DropDownData!$AD$4:$AD$8</definedName>
    <definedName name="WallType">DropDownData!$V$4:$V$10</definedName>
    <definedName name="WarmWaterWarmKeeping">DropDownData!$BJ$4:$BJ$6</definedName>
    <definedName name="WeatherStations">DropDownData!$K$4:$K$35</definedName>
    <definedName name="WS10ExpertCodes">DropDownData!$BI$4:$BI$13</definedName>
    <definedName name="WS12ExpertCodes">DropDownData!$BM$4:$BM$13</definedName>
    <definedName name="WS13ExpertCodes">DropDownData!$BP$4:$BP$13</definedName>
    <definedName name="WS14ExpertCodes">DropDownData!$BT$4:$BT$13</definedName>
    <definedName name="WS15ExpertCodes">DropDownData!$BR$4:$BR$13</definedName>
    <definedName name="WS16ExpertCodes">DropDownData!$BX$4:$BX$13</definedName>
    <definedName name="WS17ExpertCodes">DropDownData!$BZ$4:$BZ$13</definedName>
    <definedName name="WS18ExpertCodes">DropDownData!$BV$4:$BV$13</definedName>
    <definedName name="WS20ExpertCodes">DropDownData!$AK$4:$AK$13</definedName>
    <definedName name="WS2ExpertCodes">DropDownData!$Z$4:$Z$23</definedName>
    <definedName name="WS3ExpertCodes">DropDownData!$U$4:$U$23</definedName>
    <definedName name="WS4ExpertCodes">DropDownData!$AC$4:$AC$23</definedName>
    <definedName name="WS5ExpertCodes">DropDownData!$AG$4:$AG$23</definedName>
    <definedName name="WS6ExpertCodes">DropDownData!$AI$4:$AI$23</definedName>
    <definedName name="WS7ExpertCodes">[1]DropDownData!$AH$4:$AH$13</definedName>
    <definedName name="WS9ExpertCodes">DropDownData!$BB$4:$BB$13</definedName>
    <definedName name="Zips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4" l="1"/>
  <c r="C8" i="44"/>
  <c r="D8" i="44"/>
  <c r="E8" i="44"/>
  <c r="A22" i="44"/>
  <c r="C22" i="44"/>
  <c r="E22" i="44"/>
  <c r="A23" i="44"/>
  <c r="C23" i="44"/>
  <c r="E23" i="44"/>
  <c r="A24" i="44"/>
  <c r="C24" i="44"/>
  <c r="E24" i="44"/>
  <c r="A25" i="44"/>
  <c r="C25" i="44"/>
  <c r="E25" i="44"/>
  <c r="A26" i="44"/>
  <c r="C26" i="44"/>
  <c r="E26" i="44"/>
  <c r="A27" i="44"/>
  <c r="C27" i="44"/>
  <c r="E27" i="44"/>
  <c r="A28" i="44"/>
  <c r="C28" i="44"/>
  <c r="E28" i="44"/>
  <c r="A29" i="44"/>
  <c r="C29" i="44"/>
  <c r="E29" i="44"/>
  <c r="A1" i="31"/>
  <c r="B12" i="31" s="1" a="1"/>
  <c r="B12" i="31" s="1"/>
  <c r="A2" i="31"/>
  <c r="A3" i="31"/>
  <c r="A4" i="31"/>
  <c r="A5" i="31"/>
  <c r="A6" i="31"/>
  <c r="A7" i="31"/>
  <c r="B28" i="31" s="1" a="1"/>
  <c r="B28" i="31" s="1"/>
  <c r="A8" i="31"/>
  <c r="A9" i="31"/>
  <c r="A10" i="31"/>
  <c r="A11" i="31"/>
  <c r="A12" i="31"/>
  <c r="A13" i="31"/>
  <c r="B76" i="31" s="1" a="1"/>
  <c r="B76" i="31" s="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B23" i="31" s="1" a="1"/>
  <c r="B23" i="31" s="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B39" i="31" s="1" a="1"/>
  <c r="B39" i="31" s="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B55" i="31" s="1" a="1"/>
  <c r="B55" i="31" s="1"/>
  <c r="A62" i="31"/>
  <c r="A63" i="31"/>
  <c r="A64" i="31"/>
  <c r="A65" i="31"/>
  <c r="A66" i="31"/>
  <c r="A67" i="31"/>
  <c r="A68" i="31"/>
  <c r="A69" i="31"/>
  <c r="A70" i="31"/>
  <c r="A71" i="31"/>
  <c r="A72" i="31"/>
  <c r="A73" i="31"/>
  <c r="A74" i="31"/>
  <c r="A75" i="31"/>
  <c r="A76" i="31"/>
  <c r="A77" i="31"/>
  <c r="B71" i="31" s="1" a="1"/>
  <c r="B71" i="31" s="1"/>
  <c r="A78" i="31"/>
  <c r="A79" i="31"/>
  <c r="A80" i="31"/>
  <c r="A81" i="31"/>
  <c r="A82" i="31"/>
  <c r="A83" i="31"/>
  <c r="A84" i="31"/>
  <c r="A85" i="31"/>
  <c r="A86" i="31"/>
  <c r="A87" i="31"/>
  <c r="A88" i="31"/>
  <c r="A89" i="31"/>
  <c r="A90" i="31"/>
  <c r="A91" i="31"/>
  <c r="A92" i="31"/>
  <c r="A93" i="31"/>
  <c r="B87" i="31" s="1" a="1"/>
  <c r="B87" i="31" s="1"/>
  <c r="A94" i="31"/>
  <c r="A95" i="31"/>
  <c r="A96" i="31"/>
  <c r="A97" i="31"/>
  <c r="A98" i="31"/>
  <c r="A99" i="31"/>
  <c r="A100" i="31"/>
  <c r="A101" i="31"/>
  <c r="A102" i="31"/>
  <c r="A103" i="31"/>
  <c r="A104" i="31"/>
  <c r="A105" i="31"/>
  <c r="A106" i="31"/>
  <c r="A107" i="31"/>
  <c r="A108" i="31"/>
  <c r="A109" i="31"/>
  <c r="B103" i="31" s="1" a="1"/>
  <c r="B103" i="31" s="1"/>
  <c r="A110" i="31"/>
  <c r="A111" i="31"/>
  <c r="A112" i="31"/>
  <c r="A113" i="31"/>
  <c r="A114" i="31"/>
  <c r="A115" i="31"/>
  <c r="A116" i="31"/>
  <c r="A117" i="31"/>
  <c r="A118" i="31"/>
  <c r="A119" i="31"/>
  <c r="A120" i="31"/>
  <c r="A121" i="31"/>
  <c r="A122" i="31"/>
  <c r="A123" i="31"/>
  <c r="A124" i="31"/>
  <c r="A125" i="31"/>
  <c r="B119" i="31" s="1" a="1"/>
  <c r="B119" i="31" s="1"/>
  <c r="A126" i="31"/>
  <c r="A127" i="31"/>
  <c r="A128" i="31"/>
  <c r="A129" i="31"/>
  <c r="A130" i="31"/>
  <c r="A131" i="31"/>
  <c r="A132" i="31"/>
  <c r="A133" i="31"/>
  <c r="A134" i="31"/>
  <c r="A135" i="31"/>
  <c r="A136" i="31"/>
  <c r="A137" i="31"/>
  <c r="A138" i="31"/>
  <c r="A139" i="31"/>
  <c r="A140" i="31"/>
  <c r="A141" i="31"/>
  <c r="B135" i="31" s="1" a="1"/>
  <c r="B135" i="31" s="1"/>
  <c r="A142" i="31"/>
  <c r="A143" i="31"/>
  <c r="A144" i="31"/>
  <c r="A145" i="31"/>
  <c r="A146" i="31"/>
  <c r="A147" i="31"/>
  <c r="A148" i="31"/>
  <c r="A149" i="31"/>
  <c r="A150" i="31"/>
  <c r="A151" i="31"/>
  <c r="A152" i="31"/>
  <c r="A153" i="31"/>
  <c r="A154" i="31"/>
  <c r="A155" i="31"/>
  <c r="A156" i="31"/>
  <c r="A157" i="31"/>
  <c r="B151" i="31" s="1" a="1"/>
  <c r="B151" i="31" s="1"/>
  <c r="A158" i="31"/>
  <c r="A159" i="31"/>
  <c r="A160" i="31"/>
  <c r="A161" i="31"/>
  <c r="A162" i="31"/>
  <c r="A163" i="31"/>
  <c r="A164" i="31"/>
  <c r="A165" i="31"/>
  <c r="A166" i="31"/>
  <c r="A167" i="31"/>
  <c r="A168" i="31"/>
  <c r="A169" i="31"/>
  <c r="A170" i="31"/>
  <c r="A171" i="31"/>
  <c r="A172" i="31"/>
  <c r="A173" i="31"/>
  <c r="A174" i="31"/>
  <c r="A175" i="31"/>
  <c r="A176" i="31"/>
  <c r="A177" i="31"/>
  <c r="A178" i="31"/>
  <c r="A179" i="31"/>
  <c r="A180" i="31"/>
  <c r="A181" i="31"/>
  <c r="A182" i="31"/>
  <c r="A183" i="31"/>
  <c r="A184" i="31"/>
  <c r="A185" i="31"/>
  <c r="A186" i="31"/>
  <c r="A187" i="31"/>
  <c r="A188" i="31"/>
  <c r="A189" i="31"/>
  <c r="B183" i="31" s="1" a="1"/>
  <c r="B183" i="31" s="1"/>
  <c r="A190" i="31"/>
  <c r="A191" i="31"/>
  <c r="A192" i="31"/>
  <c r="A193" i="31"/>
  <c r="A194" i="31"/>
  <c r="A195" i="31"/>
  <c r="A196" i="31"/>
  <c r="A197" i="31"/>
  <c r="A198" i="31"/>
  <c r="A199" i="31"/>
  <c r="B199" i="31" a="1"/>
  <c r="B199" i="31" s="1"/>
  <c r="A200" i="31"/>
  <c r="B129" i="31" l="1" a="1"/>
  <c r="B129" i="31" s="1"/>
  <c r="B49" i="31" a="1"/>
  <c r="B49" i="31" s="1"/>
  <c r="B33" i="31" a="1"/>
  <c r="B33" i="31" s="1"/>
  <c r="B17" i="31" a="1"/>
  <c r="B17" i="31" s="1"/>
  <c r="B1" i="31" a="1"/>
  <c r="B1" i="31" s="1"/>
  <c r="B140" i="31" a="1"/>
  <c r="B140" i="31" s="1"/>
  <c r="B70" i="31" a="1"/>
  <c r="B70" i="31" s="1"/>
  <c r="B54" i="31" a="1"/>
  <c r="B54" i="31" s="1"/>
  <c r="B38" i="31" a="1"/>
  <c r="B38" i="31" s="1"/>
  <c r="B22" i="31" a="1"/>
  <c r="B22" i="31" s="1"/>
  <c r="B6" i="31" a="1"/>
  <c r="B6" i="31" s="1"/>
  <c r="B75" i="31" a="1"/>
  <c r="B75" i="31" s="1"/>
  <c r="B59" i="31" a="1"/>
  <c r="B59" i="31" s="1"/>
  <c r="B43" i="31" a="1"/>
  <c r="B43" i="31" s="1"/>
  <c r="B27" i="31" a="1"/>
  <c r="B27" i="31" s="1"/>
  <c r="B11" i="31" a="1"/>
  <c r="B11" i="31" s="1"/>
  <c r="B102" i="31" a="1"/>
  <c r="B102" i="31" s="1"/>
  <c r="B32" i="31" a="1"/>
  <c r="B32" i="31" s="1"/>
  <c r="B16" i="31" a="1"/>
  <c r="B16" i="31" s="1"/>
  <c r="B108" i="31" a="1"/>
  <c r="B108" i="31" s="1"/>
  <c r="B96" i="31" a="1"/>
  <c r="B96" i="31" s="1"/>
  <c r="B117" i="31" a="1"/>
  <c r="B117" i="31" s="1"/>
  <c r="B53" i="31" a="1"/>
  <c r="B53" i="31" s="1"/>
  <c r="B37" i="31" a="1"/>
  <c r="B37" i="31" s="1"/>
  <c r="B21" i="31" a="1"/>
  <c r="B21" i="31" s="1"/>
  <c r="B5" i="31" a="1"/>
  <c r="B5" i="31" s="1"/>
  <c r="B161" i="31" a="1"/>
  <c r="B161" i="31" s="1"/>
  <c r="B65" i="31" a="1"/>
  <c r="B65" i="31" s="1"/>
  <c r="B86" i="31" a="1"/>
  <c r="B86" i="31" s="1"/>
  <c r="B91" i="31" a="1"/>
  <c r="B91" i="31" s="1"/>
  <c r="B192" i="31" a="1"/>
  <c r="B192" i="31" s="1"/>
  <c r="B160" i="31" a="1"/>
  <c r="B160" i="31" s="1"/>
  <c r="B128" i="31" a="1"/>
  <c r="B128" i="31" s="1"/>
  <c r="B80" i="31" a="1"/>
  <c r="B80" i="31" s="1"/>
  <c r="B48" i="31" a="1"/>
  <c r="B48" i="31" s="1"/>
  <c r="B181" i="31" a="1"/>
  <c r="B181" i="31" s="1"/>
  <c r="B133" i="31" a="1"/>
  <c r="B133" i="31" s="1"/>
  <c r="B101" i="31" a="1"/>
  <c r="B101" i="31" s="1"/>
  <c r="B69" i="31" a="1"/>
  <c r="B69" i="31" s="1"/>
  <c r="B170" i="31" a="1"/>
  <c r="B170" i="31" s="1"/>
  <c r="B138" i="31" a="1"/>
  <c r="B138" i="31" s="1"/>
  <c r="B106" i="31" a="1"/>
  <c r="B106" i="31" s="1"/>
  <c r="B90" i="31" a="1"/>
  <c r="B90" i="31" s="1"/>
  <c r="B74" i="31" a="1"/>
  <c r="B74" i="31" s="1"/>
  <c r="B58" i="31" a="1"/>
  <c r="B58" i="31" s="1"/>
  <c r="B42" i="31" a="1"/>
  <c r="B42" i="31" s="1"/>
  <c r="B26" i="31" a="1"/>
  <c r="B26" i="31" s="1"/>
  <c r="B10" i="31" a="1"/>
  <c r="B10" i="31" s="1"/>
  <c r="B167" i="31" a="1"/>
  <c r="B167" i="31" s="1"/>
  <c r="B156" i="31" a="1"/>
  <c r="B156" i="31" s="1"/>
  <c r="B113" i="31" a="1"/>
  <c r="B113" i="31" s="1"/>
  <c r="B182" i="31" a="1"/>
  <c r="B182" i="31" s="1"/>
  <c r="B107" i="31" a="1"/>
  <c r="B107" i="31" s="1"/>
  <c r="B176" i="31" a="1"/>
  <c r="B176" i="31" s="1"/>
  <c r="B144" i="31" a="1"/>
  <c r="B144" i="31" s="1"/>
  <c r="B112" i="31" a="1"/>
  <c r="B112" i="31" s="1"/>
  <c r="B64" i="31" a="1"/>
  <c r="B64" i="31" s="1"/>
  <c r="B197" i="31" a="1"/>
  <c r="B197" i="31" s="1"/>
  <c r="B165" i="31" a="1"/>
  <c r="B165" i="31" s="1"/>
  <c r="B149" i="31" a="1"/>
  <c r="B149" i="31" s="1"/>
  <c r="B85" i="31" a="1"/>
  <c r="B85" i="31" s="1"/>
  <c r="B186" i="31" a="1"/>
  <c r="B186" i="31" s="1"/>
  <c r="B154" i="31" a="1"/>
  <c r="B154" i="31" s="1"/>
  <c r="B122" i="31" a="1"/>
  <c r="B122" i="31" s="1"/>
  <c r="B191" i="31" a="1"/>
  <c r="B191" i="31" s="1"/>
  <c r="B175" i="31" a="1"/>
  <c r="B175" i="31" s="1"/>
  <c r="B159" i="31" a="1"/>
  <c r="B159" i="31" s="1"/>
  <c r="B143" i="31" a="1"/>
  <c r="B143" i="31" s="1"/>
  <c r="B127" i="31" a="1"/>
  <c r="B127" i="31" s="1"/>
  <c r="B111" i="31" a="1"/>
  <c r="B111" i="31" s="1"/>
  <c r="B95" i="31" a="1"/>
  <c r="B95" i="31" s="1"/>
  <c r="B79" i="31" a="1"/>
  <c r="B79" i="31" s="1"/>
  <c r="B63" i="31" a="1"/>
  <c r="B63" i="31" s="1"/>
  <c r="B47" i="31" a="1"/>
  <c r="B47" i="31" s="1"/>
  <c r="B31" i="31" a="1"/>
  <c r="B31" i="31" s="1"/>
  <c r="B15" i="31" a="1"/>
  <c r="B15" i="31" s="1"/>
  <c r="B166" i="31" a="1"/>
  <c r="B166" i="31" s="1"/>
  <c r="B84" i="31" a="1"/>
  <c r="B84" i="31" s="1"/>
  <c r="B68" i="31" a="1"/>
  <c r="B68" i="31" s="1"/>
  <c r="B52" i="31" a="1"/>
  <c r="B52" i="31" s="1"/>
  <c r="B36" i="31" a="1"/>
  <c r="B36" i="31" s="1"/>
  <c r="B20" i="31" a="1"/>
  <c r="B20" i="31" s="1"/>
  <c r="B4" i="31" a="1"/>
  <c r="B4" i="31" s="1"/>
  <c r="B124" i="31" a="1"/>
  <c r="B124" i="31" s="1"/>
  <c r="B187" i="31" a="1"/>
  <c r="B187" i="31" s="1"/>
  <c r="B9" i="31" a="1"/>
  <c r="B9" i="31" s="1"/>
  <c r="B193" i="31" a="1"/>
  <c r="B193" i="31" s="1"/>
  <c r="B81" i="31" a="1"/>
  <c r="B81" i="31" s="1"/>
  <c r="B139" i="31" a="1"/>
  <c r="B139" i="31" s="1"/>
  <c r="B121" i="31" a="1"/>
  <c r="B121" i="31" s="1"/>
  <c r="B105" i="31" a="1"/>
  <c r="B105" i="31" s="1"/>
  <c r="B89" i="31" a="1"/>
  <c r="B89" i="31" s="1"/>
  <c r="B73" i="31" a="1"/>
  <c r="B73" i="31" s="1"/>
  <c r="B57" i="31" a="1"/>
  <c r="B57" i="31" s="1"/>
  <c r="B41" i="31" a="1"/>
  <c r="B41" i="31" s="1"/>
  <c r="B25" i="31" a="1"/>
  <c r="B25" i="31" s="1"/>
  <c r="B190" i="31" a="1"/>
  <c r="B190" i="31" s="1"/>
  <c r="B174" i="31" a="1"/>
  <c r="B174" i="31" s="1"/>
  <c r="B158" i="31" a="1"/>
  <c r="B158" i="31" s="1"/>
  <c r="B142" i="31" a="1"/>
  <c r="B142" i="31" s="1"/>
  <c r="B126" i="31" a="1"/>
  <c r="B126" i="31" s="1"/>
  <c r="B110" i="31" a="1"/>
  <c r="B110" i="31" s="1"/>
  <c r="B94" i="31" a="1"/>
  <c r="B94" i="31" s="1"/>
  <c r="B78" i="31" a="1"/>
  <c r="B78" i="31" s="1"/>
  <c r="B62" i="31" a="1"/>
  <c r="B62" i="31" s="1"/>
  <c r="B46" i="31" a="1"/>
  <c r="B46" i="31" s="1"/>
  <c r="B30" i="31" a="1"/>
  <c r="B30" i="31" s="1"/>
  <c r="B14" i="31" a="1"/>
  <c r="B14" i="31" s="1"/>
  <c r="B172" i="31" a="1"/>
  <c r="B172" i="31" s="1"/>
  <c r="B145" i="31" a="1"/>
  <c r="B145" i="31" s="1"/>
  <c r="B97" i="31" a="1"/>
  <c r="B97" i="31" s="1"/>
  <c r="B150" i="31" a="1"/>
  <c r="B150" i="31" s="1"/>
  <c r="B118" i="31" a="1"/>
  <c r="B118" i="31" s="1"/>
  <c r="B155" i="31" a="1"/>
  <c r="B155" i="31" s="1"/>
  <c r="B196" i="31" a="1"/>
  <c r="B196" i="31" s="1"/>
  <c r="B164" i="31" a="1"/>
  <c r="B164" i="31" s="1"/>
  <c r="B132" i="31" a="1"/>
  <c r="B132" i="31" s="1"/>
  <c r="B169" i="31" a="1"/>
  <c r="B169" i="31" s="1"/>
  <c r="B137" i="31" a="1"/>
  <c r="B137" i="31" s="1"/>
  <c r="B163" i="31" a="1"/>
  <c r="B163" i="31" s="1"/>
  <c r="B83" i="31" a="1"/>
  <c r="B83" i="31" s="1"/>
  <c r="B51" i="31" a="1"/>
  <c r="B51" i="31" s="1"/>
  <c r="B35" i="31" a="1"/>
  <c r="B35" i="31" s="1"/>
  <c r="B19" i="31" a="1"/>
  <c r="B19" i="31" s="1"/>
  <c r="B3" i="31" a="1"/>
  <c r="B3" i="31" s="1"/>
  <c r="B180" i="31" a="1"/>
  <c r="B180" i="31" s="1"/>
  <c r="B148" i="31" a="1"/>
  <c r="B148" i="31" s="1"/>
  <c r="B185" i="31" a="1"/>
  <c r="B185" i="31" s="1"/>
  <c r="B179" i="31" a="1"/>
  <c r="B179" i="31" s="1"/>
  <c r="B67" i="31" a="1"/>
  <c r="B67" i="31" s="1"/>
  <c r="B200" i="31" a="1"/>
  <c r="B200" i="31" s="1"/>
  <c r="B184" i="31" a="1"/>
  <c r="B184" i="31" s="1"/>
  <c r="B168" i="31" a="1"/>
  <c r="B168" i="31" s="1"/>
  <c r="B152" i="31" a="1"/>
  <c r="B152" i="31" s="1"/>
  <c r="B136" i="31" a="1"/>
  <c r="B136" i="31" s="1"/>
  <c r="B120" i="31" a="1"/>
  <c r="B120" i="31" s="1"/>
  <c r="B104" i="31" a="1"/>
  <c r="B104" i="31" s="1"/>
  <c r="B88" i="31" a="1"/>
  <c r="B88" i="31" s="1"/>
  <c r="B72" i="31" a="1"/>
  <c r="B72" i="31" s="1"/>
  <c r="B56" i="31" a="1"/>
  <c r="B56" i="31" s="1"/>
  <c r="B40" i="31" a="1"/>
  <c r="B40" i="31" s="1"/>
  <c r="B24" i="31" a="1"/>
  <c r="B24" i="31" s="1"/>
  <c r="B8" i="31" a="1"/>
  <c r="B8" i="31" s="1"/>
  <c r="B116" i="31" a="1"/>
  <c r="B116" i="31" s="1"/>
  <c r="B115" i="31" a="1"/>
  <c r="B115" i="31" s="1"/>
  <c r="B141" i="31" a="1"/>
  <c r="B141" i="31" s="1"/>
  <c r="B61" i="31" a="1"/>
  <c r="B61" i="31" s="1"/>
  <c r="B45" i="31" a="1"/>
  <c r="B45" i="31" s="1"/>
  <c r="B29" i="31" a="1"/>
  <c r="B29" i="31" s="1"/>
  <c r="B13" i="31" a="1"/>
  <c r="B13" i="31" s="1"/>
  <c r="B188" i="31" a="1"/>
  <c r="B188" i="31" s="1"/>
  <c r="B177" i="31" a="1"/>
  <c r="B177" i="31" s="1"/>
  <c r="B198" i="31" a="1"/>
  <c r="B198" i="31" s="1"/>
  <c r="B134" i="31" a="1"/>
  <c r="B134" i="31" s="1"/>
  <c r="B171" i="31" a="1"/>
  <c r="B171" i="31" s="1"/>
  <c r="B123" i="31" a="1"/>
  <c r="B123" i="31" s="1"/>
  <c r="B100" i="31" a="1"/>
  <c r="B100" i="31" s="1"/>
  <c r="B153" i="31" a="1"/>
  <c r="B153" i="31" s="1"/>
  <c r="B195" i="31" a="1"/>
  <c r="B195" i="31" s="1"/>
  <c r="B147" i="31" a="1"/>
  <c r="B147" i="31" s="1"/>
  <c r="B131" i="31" a="1"/>
  <c r="B131" i="31" s="1"/>
  <c r="B99" i="31" a="1"/>
  <c r="B99" i="31" s="1"/>
  <c r="B189" i="31" a="1"/>
  <c r="B189" i="31" s="1"/>
  <c r="B173" i="31" a="1"/>
  <c r="B173" i="31" s="1"/>
  <c r="B157" i="31" a="1"/>
  <c r="B157" i="31" s="1"/>
  <c r="B125" i="31" a="1"/>
  <c r="B125" i="31" s="1"/>
  <c r="B109" i="31" a="1"/>
  <c r="B109" i="31" s="1"/>
  <c r="B93" i="31" a="1"/>
  <c r="B93" i="31" s="1"/>
  <c r="B77" i="31" a="1"/>
  <c r="B77" i="31" s="1"/>
  <c r="B194" i="31" a="1"/>
  <c r="B194" i="31" s="1"/>
  <c r="B178" i="31" a="1"/>
  <c r="B178" i="31" s="1"/>
  <c r="B162" i="31" a="1"/>
  <c r="B162" i="31" s="1"/>
  <c r="B146" i="31" a="1"/>
  <c r="B146" i="31" s="1"/>
  <c r="B130" i="31" a="1"/>
  <c r="B130" i="31" s="1"/>
  <c r="B114" i="31" a="1"/>
  <c r="B114" i="31" s="1"/>
  <c r="B98" i="31" a="1"/>
  <c r="B98" i="31" s="1"/>
  <c r="B82" i="31" a="1"/>
  <c r="B82" i="31" s="1"/>
  <c r="B66" i="31" a="1"/>
  <c r="B66" i="31" s="1"/>
  <c r="B50" i="31" a="1"/>
  <c r="B50" i="31" s="1"/>
  <c r="B34" i="31" a="1"/>
  <c r="B34" i="31" s="1"/>
  <c r="B18" i="31" a="1"/>
  <c r="B18" i="31" s="1"/>
  <c r="B2" i="31" a="1"/>
  <c r="B2" i="31" s="1"/>
  <c r="B7" i="31" a="1"/>
  <c r="B7" i="31" s="1"/>
  <c r="B92" i="31" a="1"/>
  <c r="B92" i="31" s="1"/>
  <c r="B60" i="31" a="1"/>
  <c r="B60" i="31" s="1"/>
  <c r="B44" i="31" a="1"/>
  <c r="B44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0" xr:uid="{E8D70577-72BE-48AA-9B5E-F310478CD30D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</comment>
    <comment ref="A10" authorId="0" shapeId="0" xr:uid="{66FA39C1-C7E2-4A17-8F51-EAB6B004E4EC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Da-1 für "Dächer / Decken gegen aussen" De-1 für "Übrige Decken"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0" xr:uid="{F283BDC2-F2D3-4D91-81F9-C6B9695ADE19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</comment>
    <comment ref="A10" authorId="0" shapeId="0" xr:uid="{17F005CC-3DC0-4F75-91F8-50A7C52127E3}">
      <text>
        <r>
          <rPr>
            <b/>
            <sz val="9"/>
            <color indexed="8"/>
            <rFont val="Segoe UI"/>
            <family val="2"/>
          </rPr>
          <t xml:space="preserve">Beispiel: </t>
        </r>
        <r>
          <rPr>
            <b/>
            <sz val="9"/>
            <color indexed="10"/>
            <rFont val="Segoe UI"/>
            <family val="2"/>
          </rPr>
          <t>W-1 für "Wände gegen aussen" Wx-1 für "Übrige Wände"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0" xr:uid="{B74EE545-3BB1-41CA-9E96-31A0AF647159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</comment>
    <comment ref="A7" authorId="0" shapeId="0" xr:uid="{9B53E0EB-974F-4E94-AD4A-1227619E807F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sz val="9"/>
            <color indexed="8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Um ohne Fensterabzug zu arbeiten, darf kein Fenster eingebaut sein.</t>
        </r>
      </text>
    </comment>
    <comment ref="A9" authorId="0" shapeId="0" xr:uid="{E2E43808-3CED-4051-9D9D-A23CEB52CBC0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Fe-1 für "Fenster" T-1 für "Türen"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0" xr:uid="{646D92A1-7549-4F6E-89CF-00D70F797F33}">
      <text>
        <r>
          <rPr>
            <b/>
            <sz val="9"/>
            <color indexed="8"/>
            <rFont val="Segoe UI"/>
            <family val="2"/>
          </rPr>
          <t xml:space="preserve">Hinweis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</comment>
    <comment ref="A10" authorId="0" shapeId="0" xr:uid="{7E32F600-353C-42BF-BCC7-2571C0C28300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Bo-1 für "Böden gegen aussen" Bx-1 für "Sonstige Böden"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0" xr:uid="{C88D03AD-B6CB-4F30-BEDD-F559854F402E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</comment>
    <comment ref="A7" authorId="0" shapeId="0" xr:uid="{AF0E3041-E974-47AB-B669-F526EBD4FC1C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WL-1 für "Wärmebrücken linear " WR-1 für "Wärmebrücken punktförmig"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3" authorId="0" shapeId="0" xr:uid="{E429ACF6-1B43-4644-9E4E-C75FFAC1C952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WE-1, WE-2, WE-3, WE-4, WE-5-1 für "Wärmeerzeuger"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6" authorId="0" shapeId="0" xr:uid="{DB44E708-8574-4A46-A4F0-C3AEAA3B39D8}">
      <text>
        <r>
          <rPr>
            <b/>
            <sz val="9"/>
            <color indexed="8"/>
            <rFont val="Segoe UI"/>
            <family val="2"/>
          </rPr>
          <t xml:space="preserve">Hinweis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</comment>
    <comment ref="A9" authorId="0" shapeId="0" xr:uid="{F10F9223-7E5E-4E12-905E-9FA00BA4C0A6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HE-1 für "Versorgter Bereich Heizung"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6" authorId="0" shapeId="0" xr:uid="{C7982D3F-8A4A-44CF-A1AB-DD7E6E3C8FDF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</comment>
    <comment ref="A9" authorId="0" shapeId="0" xr:uid="{A560FB7D-A0C6-469E-B9A8-26F679574D2C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WW-1 für "Versorgter Bereich Warmwasser"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0" xr:uid="{9263AF37-E78A-47D5-B5A7-936AEFB0EEF0}">
      <text>
        <r>
          <rPr>
            <b/>
            <sz val="9"/>
            <color indexed="8"/>
            <rFont val="Segoe UI"/>
            <family val="2"/>
          </rPr>
          <t xml:space="preserve">Hinweis:
</t>
        </r>
        <r>
          <rPr>
            <b/>
            <sz val="9"/>
            <color indexed="10"/>
            <rFont val="Segoe UI"/>
            <family val="2"/>
          </rPr>
          <t>Tabelle nur bei Wohnnutzung (EFH/MFH).</t>
        </r>
      </text>
    </comment>
    <comment ref="A9" authorId="0" shapeId="0" xr:uid="{4CAF9C2D-4F4B-47D3-A08D-860E529BB681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GE-1 für "Geräte und Installationen"</t>
        </r>
      </text>
    </comment>
    <comment ref="L9" authorId="0" shapeId="0" xr:uid="{F7C1B0D7-EDE5-45C2-BB39-42ABCBA4568E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deaktivieren, um nicht vorhandene Standardgeräte aus der "Berechnung unter aktuellen Nutzung" zu löschen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3" authorId="0" shapeId="0" xr:uid="{E02A9C7B-BC8D-443C-B4A9-BC800D1BB911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Tabelle nur bei Wohnnutzung (EFH/MFH).</t>
        </r>
      </text>
    </comment>
    <comment ref="A4" authorId="0" shapeId="0" xr:uid="{17B83C9D-2DF7-4C28-B344-47E2786DA169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KE-1 für "Kleingeräte und Elektronik"</t>
        </r>
      </text>
    </comment>
    <comment ref="E4" authorId="0" shapeId="0" xr:uid="{351FE316-D700-4608-BA0A-3361432BD8EA}">
      <text>
        <r>
          <rPr>
            <b/>
            <sz val="9"/>
            <color indexed="8"/>
            <rFont val="Segoe UI"/>
            <family val="2"/>
          </rPr>
          <t>Hinweis:</t>
        </r>
        <r>
          <rPr>
            <b/>
            <sz val="9"/>
            <color indexed="10"/>
            <rFont val="Segoe UI"/>
            <family val="2"/>
          </rPr>
          <t xml:space="preserve">
mind. 80 % der EBF ist zu bedecken</t>
        </r>
      </text>
    </comment>
    <comment ref="K4" authorId="0" shapeId="0" xr:uid="{228260D7-6F00-4179-BA7B-3748A579FB2B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deaktivieren, um nicht vorhandene Standardgeräte aus der "Berechnung unter aktuellen Nutzung" zu löschen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0" xr:uid="{79AAD5B5-042B-4E21-ACD3-B798472B6094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BL-1 für "Beleuchtung"</t>
        </r>
      </text>
    </comment>
    <comment ref="E4" authorId="0" shapeId="0" xr:uid="{944F4307-17BB-4D2D-A50C-100C3F7DEF38}">
      <text>
        <r>
          <rPr>
            <b/>
            <sz val="9"/>
            <color indexed="8"/>
            <rFont val="Segoe UI"/>
            <family val="2"/>
          </rPr>
          <t>Hinweis:</t>
        </r>
        <r>
          <rPr>
            <b/>
            <sz val="9"/>
            <color indexed="10"/>
            <rFont val="Segoe UI"/>
            <family val="2"/>
          </rPr>
          <t xml:space="preserve">
mind. 80 % der EBF ist zu bedecken</t>
        </r>
      </text>
    </comment>
    <comment ref="L4" authorId="0" shapeId="0" xr:uid="{DEE20537-2E1E-4A19-B2F7-9EA12D75031B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deaktivieren, um nicht vorhandene Standardgeräte aus der "Berechnung unter aktuellen Nutzung" zu löschen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0" xr:uid="{94BABF79-078C-4C41-9E31-2AE52A9B047D}">
      <text>
        <r>
          <rPr>
            <b/>
            <sz val="9"/>
            <color indexed="8"/>
            <rFont val="Segoe UI"/>
            <family val="2"/>
          </rPr>
          <t xml:space="preserve">Hinweis:
</t>
        </r>
        <r>
          <rPr>
            <b/>
            <sz val="9"/>
            <color indexed="10"/>
            <rFont val="Segoe UI"/>
            <family val="2"/>
          </rPr>
          <t>Tabelle nur für SIA Kat. III und IV (Schulen und Verwaltung).</t>
        </r>
      </text>
    </comment>
    <comment ref="A9" authorId="0" shapeId="0" xr:uid="{13A45DB7-8799-4AE5-AADD-4DA9255E572C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BG-1 für "Betriebseinrichtungen und Geräte"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0" xr:uid="{A0ED9E7F-595A-46D7-9703-BCE31BFC99B7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</comment>
    <comment ref="A8" authorId="0" shapeId="0" xr:uid="{9DA702AB-2756-46A6-B0AE-2651B77D6BD5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EP-1 für "Elektrizitätsproduktion"</t>
        </r>
      </text>
    </comment>
    <comment ref="I8" authorId="0" shapeId="0" xr:uid="{1D5D08D7-8B9A-4E5C-9F0E-1E8F42186F31}">
      <text>
        <r>
          <rPr>
            <b/>
            <sz val="9"/>
            <color indexed="8"/>
            <rFont val="Segoe UI"/>
            <family val="2"/>
          </rPr>
          <t>Hinweis:</t>
        </r>
        <r>
          <rPr>
            <sz val="9"/>
            <color indexed="8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Berücksichtigungsanteil erhöht bei PVOpti-Nachweis 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0" xr:uid="{4D5482C1-81F3-4170-8E66-D140CCFAA86C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</comment>
    <comment ref="A10" authorId="0" shapeId="0" xr:uid="{B60FAD3B-0977-4BCA-8A3F-BC4A2E929B2C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EM-1 für "Energiemanagementsystem (EMS)"</t>
        </r>
      </text>
    </comment>
    <comment ref="A18" authorId="0" shapeId="0" xr:uid="{CDEF97C7-026A-49E3-9B63-587120F92ED7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EP-1 für "Elektrizitätsproduktion"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0" xr:uid="{51EAB4FE-CDBA-47E5-B639-3BF7211FD4FD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WV-1 für "Weitere Verbraucher"</t>
        </r>
      </text>
    </comment>
    <comment ref="K4" authorId="0" shapeId="0" xr:uid="{7DB5E671-C0BA-4274-AEAE-178E33EB2408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Gebäudezugehörig wählen, um den Verbrauch in der Energie Etikette zu berücksichtigen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Wesselmann Karine</author>
    <author>Pahs Markus</author>
  </authors>
  <commentList>
    <comment ref="A4" authorId="0" shapeId="0" xr:uid="{8B783293-27A5-4FAC-85B0-0E14739C6B5E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</comment>
    <comment ref="K7" authorId="1" shapeId="0" xr:uid="{B29D6379-33D9-4C10-9B4C-5886D812CEC1}">
      <text>
        <r>
          <rPr>
            <sz val="9"/>
            <color indexed="8"/>
            <rFont val="Segoe UI"/>
            <family val="2"/>
          </rPr>
          <t>Bei EFH und MFH bis 2'000 m² oder bei Verwaltung und Schulen bis 1'000 m² kann eine stark vereinfachte Lüftungsberechnung basierend auf Kleinanlagen mit Standardwerten durchgeführt werden. Für alle übrigen Fälle ist eine externe Berechnung durchzuführen.</t>
        </r>
      </text>
    </comment>
    <comment ref="A8" authorId="0" shapeId="0" xr:uid="{CFF5C7E6-868B-45EE-BB91-5C860780BB6F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LU-1 für "Lüftung"</t>
        </r>
      </text>
    </comment>
  </commentList>
</comments>
</file>

<file path=xl/sharedStrings.xml><?xml version="1.0" encoding="utf-8"?>
<sst xmlns="http://schemas.openxmlformats.org/spreadsheetml/2006/main" count="1179" uniqueCount="797">
  <si>
    <t>Projektbezeichnung</t>
  </si>
  <si>
    <t>Auftraggeber</t>
  </si>
  <si>
    <t>Anrede</t>
  </si>
  <si>
    <t>E-Mail</t>
  </si>
  <si>
    <t>Adresse</t>
  </si>
  <si>
    <t>Land</t>
  </si>
  <si>
    <t>Gebäude</t>
  </si>
  <si>
    <t>Baujahr</t>
  </si>
  <si>
    <t>Energiebezugsfläche [m²]</t>
  </si>
  <si>
    <t>Lichte Raumhöhe [m]</t>
  </si>
  <si>
    <t>Anzahl der Vollgeschosse</t>
  </si>
  <si>
    <t>Gebäudebreite [m]</t>
  </si>
  <si>
    <t>Fassadengliederung</t>
  </si>
  <si>
    <t>Ort</t>
  </si>
  <si>
    <t>PLZ</t>
  </si>
  <si>
    <t>Projekt</t>
  </si>
  <si>
    <t>Kürzel</t>
  </si>
  <si>
    <t>OtherConsumerType:</t>
  </si>
  <si>
    <t>Beschreibung</t>
  </si>
  <si>
    <t>Ausrichtung</t>
  </si>
  <si>
    <t>WS14ExpertCodes:</t>
  </si>
  <si>
    <t>Typ</t>
  </si>
  <si>
    <t>Zustand</t>
  </si>
  <si>
    <t>Beschreibungen im Ist-Zustand</t>
  </si>
  <si>
    <t>Beschreibung Gebäudetechnik</t>
  </si>
  <si>
    <t>Beschreibung der Gebäudehülle</t>
  </si>
  <si>
    <t>Gebäudehülle</t>
  </si>
  <si>
    <t>Bezeichnung</t>
  </si>
  <si>
    <t>Energieträger</t>
  </si>
  <si>
    <t>Versorgte Verteilsysteme</t>
  </si>
  <si>
    <t>Aufstellort</t>
  </si>
  <si>
    <t>kWh</t>
  </si>
  <si>
    <t>Hydraulischer Abgleich</t>
  </si>
  <si>
    <t>Devices:</t>
  </si>
  <si>
    <t>Einheit</t>
  </si>
  <si>
    <t>SpExpertCodes:</t>
  </si>
  <si>
    <t>Wärmeerzeuger (max. 5)</t>
  </si>
  <si>
    <t>Art der Wärmeabgabe</t>
  </si>
  <si>
    <t>Überdimensionierung [—]</t>
  </si>
  <si>
    <t>Anteil Heizung [%]</t>
  </si>
  <si>
    <t>Anteil Warmwasser [%]</t>
  </si>
  <si>
    <t>Name 1</t>
  </si>
  <si>
    <t>Name 2</t>
  </si>
  <si>
    <t>Postfach</t>
  </si>
  <si>
    <t>Telefon 1</t>
  </si>
  <si>
    <t>Telefon 2</t>
  </si>
  <si>
    <t>Gemeinde</t>
  </si>
  <si>
    <t>Strasse</t>
  </si>
  <si>
    <t>Hausnummer</t>
  </si>
  <si>
    <t>Gebäudebezeichnung</t>
  </si>
  <si>
    <t>Parzellen-Nummer</t>
  </si>
  <si>
    <t>Bauweise Gebäude</t>
  </si>
  <si>
    <t>Fensterflächen automatisch abziehen</t>
  </si>
  <si>
    <t>Qualität</t>
  </si>
  <si>
    <t>Verbrauch pro Jahr [kWh/a]</t>
  </si>
  <si>
    <t>Ausrichtung [°]</t>
  </si>
  <si>
    <t>Ausbaugrad</t>
  </si>
  <si>
    <t>Energiemanagement und Speicherbatterie (max. 1)</t>
  </si>
  <si>
    <t>Beleuchtung</t>
  </si>
  <si>
    <t>Geräte und Installationen</t>
  </si>
  <si>
    <t>Weitere Verbraucher</t>
  </si>
  <si>
    <t>Leistung [kW]</t>
  </si>
  <si>
    <t>Jahreslaufzeit [h]</t>
  </si>
  <si>
    <t>Verbrauchsdaten Elektrizität</t>
  </si>
  <si>
    <t>∅ Jahresverbrauch</t>
  </si>
  <si>
    <t>Grundrisstyp</t>
  </si>
  <si>
    <t>Klimastation</t>
  </si>
  <si>
    <t>Stromtarif-Anteile</t>
  </si>
  <si>
    <t>Hochtarif</t>
  </si>
  <si>
    <t>Mitteltarif</t>
  </si>
  <si>
    <t>Niedertarif</t>
  </si>
  <si>
    <t>Lage der horizontalen Verteilleitungen</t>
  </si>
  <si>
    <t>Versorgter Bereich Heizung (max. 3 Bereiche)</t>
  </si>
  <si>
    <t>Versorgter Bereich Warmwasser (max. 3 Bereiche)</t>
  </si>
  <si>
    <t>Sm³</t>
  </si>
  <si>
    <t>Ster</t>
  </si>
  <si>
    <t>kg</t>
  </si>
  <si>
    <t>m³</t>
  </si>
  <si>
    <t>l</t>
  </si>
  <si>
    <t>Verteilleitungen gedämmt</t>
  </si>
  <si>
    <t>MJ</t>
  </si>
  <si>
    <t>Teilbeheizungsgrad Kellergeschoss</t>
  </si>
  <si>
    <t>Nutzungsgrad Heizung</t>
  </si>
  <si>
    <t>Nutzungsgrad Warmwasser</t>
  </si>
  <si>
    <t>Gebäudetechnik</t>
  </si>
  <si>
    <t>EGID_EDID-Gruppe</t>
  </si>
  <si>
    <t>EGID</t>
  </si>
  <si>
    <t>Wände</t>
  </si>
  <si>
    <t>Wände gegen aussen</t>
  </si>
  <si>
    <t>Übrige Wände</t>
  </si>
  <si>
    <t>Erzeugungsanlagen</t>
  </si>
  <si>
    <t>Mögliche Verbesserungen</t>
  </si>
  <si>
    <t>Warmwasserverteilung und -amaturen</t>
  </si>
  <si>
    <t>Bo-4</t>
  </si>
  <si>
    <t>Bo-3</t>
  </si>
  <si>
    <t>Bo-2</t>
  </si>
  <si>
    <t>Bauteilheizung</t>
  </si>
  <si>
    <t>Bo-1</t>
  </si>
  <si>
    <t>WS5ExpertCodes:</t>
  </si>
  <si>
    <t>VL Nachbarzone</t>
  </si>
  <si>
    <t>HpExpertCodes:</t>
  </si>
  <si>
    <t>Bo-5</t>
  </si>
  <si>
    <t>Dächer und Decken</t>
  </si>
  <si>
    <t>Dachtyp</t>
  </si>
  <si>
    <t>Dächer / Decken gegen aussen</t>
  </si>
  <si>
    <t>Übrige Decken</t>
  </si>
  <si>
    <t>Fenster und Türen</t>
  </si>
  <si>
    <t>g-Wert [—]</t>
  </si>
  <si>
    <t>Glasanteil [—]</t>
  </si>
  <si>
    <t>Verschattung [—]</t>
  </si>
  <si>
    <t>BasementHeatingLevel:</t>
  </si>
  <si>
    <t>Eingebaut in</t>
  </si>
  <si>
    <t>Böden</t>
  </si>
  <si>
    <t>Übrige Böden</t>
  </si>
  <si>
    <t>Böden gegen aussen</t>
  </si>
  <si>
    <t>Wärmebrücken</t>
  </si>
  <si>
    <t>Länge [m]</t>
  </si>
  <si>
    <t>Psi-Wert Ψ [W/(mK)]</t>
  </si>
  <si>
    <t>Chi-Wert Χ [W/K]</t>
  </si>
  <si>
    <t>Anzahl [—]</t>
  </si>
  <si>
    <t>b-Faktor [—]</t>
  </si>
  <si>
    <t>Wärmeverteilung und -abgabe Heizung</t>
  </si>
  <si>
    <t>WE-1 Deckungsgrad [%]</t>
  </si>
  <si>
    <t>WE-2 Deckungsgrad [%]</t>
  </si>
  <si>
    <t>WE-3 Deckungsgrad [%]</t>
  </si>
  <si>
    <t>WE-4 Deckungsgrad [%]</t>
  </si>
  <si>
    <t>WE-5 Deckungsgrad [%]</t>
  </si>
  <si>
    <t>Dämmdicke [cm]</t>
  </si>
  <si>
    <t>Wärmeleitfähigkeit Dämmung [W/(mK)]</t>
  </si>
  <si>
    <t>Vorlauf/Rücklauf [°C]</t>
  </si>
  <si>
    <t>Durchschnittlicher Verbrauch pro Jahr</t>
  </si>
  <si>
    <t>WS18ExpertCodes:</t>
  </si>
  <si>
    <t>WV-1</t>
  </si>
  <si>
    <t>Kleingeräte und Elektronik</t>
  </si>
  <si>
    <t>Betriebseinrichtungen und Geräte</t>
  </si>
  <si>
    <t>Eigenverbrauch mit einem externen Tool berechnet</t>
  </si>
  <si>
    <t>Template R6.8 generiert am:</t>
  </si>
  <si>
    <t>EDID</t>
  </si>
  <si>
    <t>PLZ/Ort</t>
  </si>
  <si>
    <t>Raumtemperatur [°C]</t>
  </si>
  <si>
    <t>Elektrizitätsbedarf pro Jahr [MJ/m²]</t>
  </si>
  <si>
    <t>Regelungszuschlag für Raumtemperatur [K]</t>
  </si>
  <si>
    <t>Personenfläche [m²/P]</t>
  </si>
  <si>
    <t>Wärmeabgabe pro Person [W/P]</t>
  </si>
  <si>
    <t>Bestbekannte Werte Klimastation</t>
  </si>
  <si>
    <t>Höhe ü. M.</t>
  </si>
  <si>
    <t>WS2ExpertCodes:</t>
  </si>
  <si>
    <t>Lüftung</t>
  </si>
  <si>
    <t>Anzahl Räume mit Zuluft/Anzahl Personen</t>
  </si>
  <si>
    <t>Ventilatorantrieb mit</t>
  </si>
  <si>
    <t>Flächenbezogener Aussenluft-Volumenstrom [m³/(h m²)]</t>
  </si>
  <si>
    <t>Thermisch wirksame Aussenluftrate [m³/h]</t>
  </si>
  <si>
    <t>Strombedarf Lüftung + Vereisungsschutz [kWh]</t>
  </si>
  <si>
    <t>Strombedarf Kälteförderung [kWh]</t>
  </si>
  <si>
    <t>Strombedarf Klima und Befeuchtung [kWh]</t>
  </si>
  <si>
    <t>Wärmerückgewinnungs-Wärmetauscher</t>
  </si>
  <si>
    <t>Standard-Lüftungsanlagentyp</t>
  </si>
  <si>
    <t>Angaben bei Standard-Lüftungsanlagen</t>
  </si>
  <si>
    <t>Nutzung 1</t>
  </si>
  <si>
    <t>Nutzung 2</t>
  </si>
  <si>
    <t>Nutzung 3</t>
  </si>
  <si>
    <t>Nutzungsart</t>
  </si>
  <si>
    <t>Fläche [m²]</t>
  </si>
  <si>
    <t>Fläche [%]</t>
  </si>
  <si>
    <t>Standard-Nutzungsdaten überschreiben</t>
  </si>
  <si>
    <t>Reduktionsfaktor Elektrizität</t>
  </si>
  <si>
    <t>Gesamt</t>
  </si>
  <si>
    <t>∅ Jahresverbrauch [kWh/a]</t>
  </si>
  <si>
    <t>Gebäudenutzungen</t>
  </si>
  <si>
    <t>Nutzungsart II</t>
  </si>
  <si>
    <t>Warmhaltung</t>
  </si>
  <si>
    <t>Speicher (max. 10)</t>
  </si>
  <si>
    <t>Gesamtspeichervolumen in Liter</t>
  </si>
  <si>
    <t>Warmwasserspeichervolumen in Liter</t>
  </si>
  <si>
    <t>Ausführungsqualität Speicheranschlüsse</t>
  </si>
  <si>
    <t>Verhältnis der Speicherhöhe zum Speicherdurchmesser</t>
  </si>
  <si>
    <t>WE-1</t>
  </si>
  <si>
    <t>WE-2</t>
  </si>
  <si>
    <t>WE-3</t>
  </si>
  <si>
    <t>WE-4</t>
  </si>
  <si>
    <t>WE-5</t>
  </si>
  <si>
    <t>Hauptwärmeerzeuger</t>
  </si>
  <si>
    <t>Präsenzzeit pro Tag [h/d]</t>
  </si>
  <si>
    <t>Energiebedarf Warmwasser [kWh/m²]</t>
  </si>
  <si>
    <t>Heizungsspeichervolumen in Liter</t>
  </si>
  <si>
    <t>WS20ExpertCodes:</t>
  </si>
  <si>
    <t>EMS_ExpertCode:</t>
  </si>
  <si>
    <t>Jahr der letzten Gesamtsanierung</t>
  </si>
  <si>
    <t>∅ Ertrag aus Photovoltaik und / oder Wärmekraftkopplung [kWh/a]</t>
  </si>
  <si>
    <t>Netzeinspeisung [kWh/a]</t>
  </si>
  <si>
    <t xml:space="preserve">Wärmeerzeuger </t>
  </si>
  <si>
    <t>Netzeinspeisung [%]</t>
  </si>
  <si>
    <t>Stromproduktion (Jahresertrag) [kWh]</t>
  </si>
  <si>
    <t>Priorität</t>
  </si>
  <si>
    <t>WS17ExpertCodes:</t>
  </si>
  <si>
    <t>Elektrizitätsprod. mit PVopti</t>
  </si>
  <si>
    <t>Berechnungsgrundlage</t>
  </si>
  <si>
    <t>Nutzungsdauer [Jahre]</t>
  </si>
  <si>
    <t>HeatUnit:</t>
  </si>
  <si>
    <t>Inbetriebnahmejahr</t>
  </si>
  <si>
    <t>Anstellwinkel [°]</t>
  </si>
  <si>
    <t>Instandhaltungskosten [CHF/a]</t>
  </si>
  <si>
    <t>Installierte Leistung [kWp]</t>
  </si>
  <si>
    <t>Nutzungsgrad elektrisch</t>
  </si>
  <si>
    <t>Werterhalt</t>
  </si>
  <si>
    <t>Investition</t>
  </si>
  <si>
    <t>Energiemanagementsystem (EMS)</t>
  </si>
  <si>
    <t>Speicherbatterie vorhanden?</t>
  </si>
  <si>
    <t>Elektrische Speicherkapazität</t>
  </si>
  <si>
    <t>Language:</t>
  </si>
  <si>
    <t>de</t>
  </si>
  <si>
    <t>Version:</t>
  </si>
  <si>
    <t>Mehrfamilienhaus:</t>
  </si>
  <si>
    <t>Wohnung</t>
  </si>
  <si>
    <t>Treppenhaus</t>
  </si>
  <si>
    <t>Home-Office</t>
  </si>
  <si>
    <t>Keller, Estrich</t>
  </si>
  <si>
    <t>Abstellraum, Garage o. ä.</t>
  </si>
  <si>
    <t>Einfamilienhaus:</t>
  </si>
  <si>
    <t>Hotel:</t>
  </si>
  <si>
    <t>Hotelzimmer</t>
  </si>
  <si>
    <t>Eingangshalle</t>
  </si>
  <si>
    <t>Büro</t>
  </si>
  <si>
    <t>Verkehrsfläche</t>
  </si>
  <si>
    <t>Nebenfläche</t>
  </si>
  <si>
    <t>BüroVerwaltung:</t>
  </si>
  <si>
    <t>Korridor, Erschliessung</t>
  </si>
  <si>
    <t>Nebenräume</t>
  </si>
  <si>
    <t>Schule:</t>
  </si>
  <si>
    <t>Schulzimmer</t>
  </si>
  <si>
    <t>Lehrerzimmer</t>
  </si>
  <si>
    <t>Turnhalle</t>
  </si>
  <si>
    <t>Garderobe, Duschen, WC</t>
  </si>
  <si>
    <t>Singsaal, Aula</t>
  </si>
  <si>
    <t>Verkauf:</t>
  </si>
  <si>
    <t>Lebensmittel</t>
  </si>
  <si>
    <t>Fachgeschäft</t>
  </si>
  <si>
    <t>Möbel, Bau, Garten</t>
  </si>
  <si>
    <t>Restaurant:</t>
  </si>
  <si>
    <t>Restaurant</t>
  </si>
  <si>
    <t>Title:</t>
  </si>
  <si>
    <t>Frau</t>
  </si>
  <si>
    <t>Herr</t>
  </si>
  <si>
    <t>Herr u. Frau</t>
  </si>
  <si>
    <t>Firma</t>
  </si>
  <si>
    <t>Familie</t>
  </si>
  <si>
    <t>Hauseigentümer</t>
  </si>
  <si>
    <t>Eigentümergemeinschaft</t>
  </si>
  <si>
    <t>Liegenschaftsverwaltung</t>
  </si>
  <si>
    <t>Gemeindeverwaltung</t>
  </si>
  <si>
    <t/>
  </si>
  <si>
    <t>ConstructionType:</t>
  </si>
  <si>
    <t>schwer</t>
  </si>
  <si>
    <t>mittel</t>
  </si>
  <si>
    <t>leicht</t>
  </si>
  <si>
    <t>sehr leicht</t>
  </si>
  <si>
    <t>GroundPlanType:</t>
  </si>
  <si>
    <t>kompakt</t>
  </si>
  <si>
    <t>gestreckt</t>
  </si>
  <si>
    <t>WeatherStations:</t>
  </si>
  <si>
    <t>Adelboden</t>
  </si>
  <si>
    <t>Altdorf</t>
  </si>
  <si>
    <t>Basel-Binningen</t>
  </si>
  <si>
    <t>Bern-Liebefeld</t>
  </si>
  <si>
    <t>Buchs-Aarau</t>
  </si>
  <si>
    <t>Chur</t>
  </si>
  <si>
    <t>Davos</t>
  </si>
  <si>
    <t>Disentis</t>
  </si>
  <si>
    <t>Engelberg</t>
  </si>
  <si>
    <t>Genève-Cointrin</t>
  </si>
  <si>
    <t>Glarus</t>
  </si>
  <si>
    <t>Grand-St-Bernard</t>
  </si>
  <si>
    <t>Güttingen</t>
  </si>
  <si>
    <t>La Chaux-de-Fonds</t>
  </si>
  <si>
    <t>Locarno-Monti</t>
  </si>
  <si>
    <t>Lugano</t>
  </si>
  <si>
    <t>Luzern</t>
  </si>
  <si>
    <t>Magadino</t>
  </si>
  <si>
    <t>Montana</t>
  </si>
  <si>
    <t>Neuchâtel</t>
  </si>
  <si>
    <t>Payerne</t>
  </si>
  <si>
    <t>Robbia</t>
  </si>
  <si>
    <t>Samedan</t>
  </si>
  <si>
    <t>San Bernardino</t>
  </si>
  <si>
    <t>Schaffhausen</t>
  </si>
  <si>
    <t>Scuol</t>
  </si>
  <si>
    <t>Sion</t>
  </si>
  <si>
    <t>St. Gallen</t>
  </si>
  <si>
    <t>Vaduz</t>
  </si>
  <si>
    <t>Wynau</t>
  </si>
  <si>
    <t>Zermatt</t>
  </si>
  <si>
    <t>Zürich-MeteoSchweiz</t>
  </si>
  <si>
    <t>BestKnownWeatherStations:</t>
  </si>
  <si>
    <t>Aigle</t>
  </si>
  <si>
    <t>Interlaken</t>
  </si>
  <si>
    <t>La Frétaz</t>
  </si>
  <si>
    <t>Piotta</t>
  </si>
  <si>
    <t>Pully</t>
  </si>
  <si>
    <t>Rünenberg</t>
  </si>
  <si>
    <t>Ulrichen</t>
  </si>
  <si>
    <t>Zürich-Kloten</t>
  </si>
  <si>
    <t>Beschreibung des Gebäudes</t>
  </si>
  <si>
    <t>Prioritization:</t>
  </si>
  <si>
    <t>Hohe Priorität: Umsetzung in &lt; 2 Jahren</t>
  </si>
  <si>
    <t>Mittlere Priorität: Umsetzung in 2-5 Jahren</t>
  </si>
  <si>
    <t>Geringe Priorität: Umsetzung in 5-10 Jahren</t>
  </si>
  <si>
    <t>Keine Priorität</t>
  </si>
  <si>
    <t>BuildingUsageTypes:</t>
  </si>
  <si>
    <t>Mehrfamilienhaus</t>
  </si>
  <si>
    <t>Einfamilienhaus</t>
  </si>
  <si>
    <t>Hotel</t>
  </si>
  <si>
    <t>Büro/Verwaltung</t>
  </si>
  <si>
    <t>Schule</t>
  </si>
  <si>
    <t>Verkauf</t>
  </si>
  <si>
    <t>HotelType:</t>
  </si>
  <si>
    <t>ohne Stern, Pension, Gasthaus</t>
  </si>
  <si>
    <t>1 Stern</t>
  </si>
  <si>
    <t>2 Sterne</t>
  </si>
  <si>
    <t>3 Sterne</t>
  </si>
  <si>
    <t>4 Sterne</t>
  </si>
  <si>
    <t>5 Sterne und mehr</t>
  </si>
  <si>
    <t>Jugendheim/Hostel</t>
  </si>
  <si>
    <t>RestaurantType:</t>
  </si>
  <si>
    <t>Selbstbedienungsrestaurant</t>
  </si>
  <si>
    <t>Fastfood-Restaurant</t>
  </si>
  <si>
    <t>Kantine</t>
  </si>
  <si>
    <t>Bar</t>
  </si>
  <si>
    <t>Café</t>
  </si>
  <si>
    <t>Eiscafé</t>
  </si>
  <si>
    <t>ShopType:</t>
  </si>
  <si>
    <t>Discounter</t>
  </si>
  <si>
    <t>Supermarkt</t>
  </si>
  <si>
    <t>Gemischtwarenhandel</t>
  </si>
  <si>
    <t>Lebensmittelhandel</t>
  </si>
  <si>
    <t>Detailfachgeschäft</t>
  </si>
  <si>
    <t>Verkauf Möbel, Bau, Garten</t>
  </si>
  <si>
    <t>BuildingUsageSubTypes:</t>
  </si>
  <si>
    <t>---</t>
  </si>
  <si>
    <t>FacadeStructure:</t>
  </si>
  <si>
    <t>flächig, glatt</t>
  </si>
  <si>
    <t>normal gegliedert</t>
  </si>
  <si>
    <t>stark gegliedert</t>
  </si>
  <si>
    <t>Allgemeiner Zustand</t>
  </si>
  <si>
    <t>GeneralCondition:</t>
  </si>
  <si>
    <t>neuwertig</t>
  </si>
  <si>
    <t>gebraucht</t>
  </si>
  <si>
    <t>abgenutzt</t>
  </si>
  <si>
    <t>Lebensdauer erreicht</t>
  </si>
  <si>
    <t>Renovationsjahr</t>
  </si>
  <si>
    <t>U-Wert [W/(m²K)]</t>
  </si>
  <si>
    <t>Temp. Nachbarraum</t>
  </si>
  <si>
    <t>Temperaturzuschlag Nachbarraum</t>
  </si>
  <si>
    <t>WS3ExpertCodes:</t>
  </si>
  <si>
    <t>W-1</t>
  </si>
  <si>
    <t>W-2</t>
  </si>
  <si>
    <t>W-3</t>
  </si>
  <si>
    <t>W-4</t>
  </si>
  <si>
    <t>W-5</t>
  </si>
  <si>
    <t>W-6</t>
  </si>
  <si>
    <t>W-7</t>
  </si>
  <si>
    <t>W-8</t>
  </si>
  <si>
    <t>W-9</t>
  </si>
  <si>
    <t>W-10</t>
  </si>
  <si>
    <t>Wx-1</t>
  </si>
  <si>
    <t>Wx-2</t>
  </si>
  <si>
    <t>Wx-3</t>
  </si>
  <si>
    <t>Wx-4</t>
  </si>
  <si>
    <t>Wx-5</t>
  </si>
  <si>
    <t>Wx-6</t>
  </si>
  <si>
    <t>Wx-7</t>
  </si>
  <si>
    <t>Wx-8</t>
  </si>
  <si>
    <t>Wx-9</t>
  </si>
  <si>
    <t>Wx-10</t>
  </si>
  <si>
    <t>WallType:</t>
  </si>
  <si>
    <t>Aussenwand</t>
  </si>
  <si>
    <t>Hinterlüftete Fassade</t>
  </si>
  <si>
    <t>Gegen Unbeheizt (ungedämmt und/oder undicht)</t>
  </si>
  <si>
    <t>Gegen Beheizt</t>
  </si>
  <si>
    <t>Gegen Erdreich ≤ 2 m</t>
  </si>
  <si>
    <t>Gegen Erdreich &gt; 2 m</t>
  </si>
  <si>
    <t>Gegen Unbeheizt (gedämmt, luftdicht)</t>
  </si>
  <si>
    <t>Orientation:</t>
  </si>
  <si>
    <t>N</t>
  </si>
  <si>
    <t>NO</t>
  </si>
  <si>
    <t>O</t>
  </si>
  <si>
    <t>SO</t>
  </si>
  <si>
    <t>S</t>
  </si>
  <si>
    <t>SW</t>
  </si>
  <si>
    <t>W</t>
  </si>
  <si>
    <t>NW</t>
  </si>
  <si>
    <t>CalculationBase_NoMeter:</t>
  </si>
  <si>
    <t>Pauschal (pro Stück)</t>
  </si>
  <si>
    <t>Pro m²</t>
  </si>
  <si>
    <t>RoofType:</t>
  </si>
  <si>
    <t>Schrägdach, unbeheizt</t>
  </si>
  <si>
    <t>Schrägdach, teilbeheizt</t>
  </si>
  <si>
    <t>Schrägdach, vollbeheizt</t>
  </si>
  <si>
    <t>Flachdach</t>
  </si>
  <si>
    <t>Flachdach mit Attikageschoss</t>
  </si>
  <si>
    <t>Da-1</t>
  </si>
  <si>
    <t>Da-2</t>
  </si>
  <si>
    <t>Da-3</t>
  </si>
  <si>
    <t>Da-4</t>
  </si>
  <si>
    <t>Da-5</t>
  </si>
  <si>
    <t>Da-6</t>
  </si>
  <si>
    <t>Da-7</t>
  </si>
  <si>
    <t>Da-8</t>
  </si>
  <si>
    <t>Da-9</t>
  </si>
  <si>
    <t>Da-10</t>
  </si>
  <si>
    <t>De-1</t>
  </si>
  <si>
    <t>De-2</t>
  </si>
  <si>
    <t>De-3</t>
  </si>
  <si>
    <t>De-4</t>
  </si>
  <si>
    <t>De-5</t>
  </si>
  <si>
    <t>De-6</t>
  </si>
  <si>
    <t>De-7</t>
  </si>
  <si>
    <t>De-8</t>
  </si>
  <si>
    <t>De-9</t>
  </si>
  <si>
    <t>De-10</t>
  </si>
  <si>
    <t>RoofCeilingType:</t>
  </si>
  <si>
    <t>Steildach</t>
  </si>
  <si>
    <t>Flachdach/Terrasse</t>
  </si>
  <si>
    <t>Decke/Estrich geg Unbeheizt</t>
  </si>
  <si>
    <t>Decke/Estrich geg Beheizt</t>
  </si>
  <si>
    <t xml:space="preserve">Geg Unbeh. (Estrich/Dach ged. Ue </t>
  </si>
  <si>
    <t>Decke ≤ 2 m im Erdreich</t>
  </si>
  <si>
    <t>Decke gegen Erdreich &gt; 2 m</t>
  </si>
  <si>
    <t>OrientationHExtended:</t>
  </si>
  <si>
    <t>Horiz</t>
  </si>
  <si>
    <t xml:space="preserve"> </t>
  </si>
  <si>
    <t>Nein</t>
  </si>
  <si>
    <t>WS4ExpertCodes:</t>
  </si>
  <si>
    <t>Fe-1</t>
  </si>
  <si>
    <t>Fe-2</t>
  </si>
  <si>
    <t>Fe-3</t>
  </si>
  <si>
    <t>Fe-4</t>
  </si>
  <si>
    <t>Fe-5</t>
  </si>
  <si>
    <t>Fe-6</t>
  </si>
  <si>
    <t>Fe-7</t>
  </si>
  <si>
    <t>Fe-8</t>
  </si>
  <si>
    <t>Fe-9</t>
  </si>
  <si>
    <t>Fe-10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</si>
  <si>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</si>
  <si>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</si>
  <si>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</si>
  <si>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</si>
  <si>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</si>
  <si>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</si>
  <si>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</si>
  <si>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</si>
  <si>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</si>
  <si>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</si>
  <si>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WallOpeningType:</t>
  </si>
  <si>
    <t>Tür</t>
  </si>
  <si>
    <t>Türe gegen angebauten Raum</t>
  </si>
  <si>
    <t>Fenster</t>
  </si>
  <si>
    <t>Fenster gegen angebauten Raum</t>
  </si>
  <si>
    <t>Geg Beheizt</t>
  </si>
  <si>
    <t>OrientationH:</t>
  </si>
  <si>
    <t>unbeheizt</t>
  </si>
  <si>
    <t>teilbeheizt</t>
  </si>
  <si>
    <t>vollbeheizt</t>
  </si>
  <si>
    <t>Bo-6</t>
  </si>
  <si>
    <t>Bo-7</t>
  </si>
  <si>
    <t>Bo-8</t>
  </si>
  <si>
    <t>Bo-9</t>
  </si>
  <si>
    <t>Bo-10</t>
  </si>
  <si>
    <t>Bx-1</t>
  </si>
  <si>
    <t>Bx-2</t>
  </si>
  <si>
    <t>Bx-3</t>
  </si>
  <si>
    <t>Bx-4</t>
  </si>
  <si>
    <t>Bx-5</t>
  </si>
  <si>
    <t>Bx-6</t>
  </si>
  <si>
    <t>Bx-7</t>
  </si>
  <si>
    <t>Bx-8</t>
  </si>
  <si>
    <t>Bx-9</t>
  </si>
  <si>
    <t>Bx-10</t>
  </si>
  <si>
    <t>FloorType:</t>
  </si>
  <si>
    <t>Gegen Aussen</t>
  </si>
  <si>
    <t>Gegen Unbeheizt (Keller im Erdreich) (ungedämmt und/oder undicht)</t>
  </si>
  <si>
    <t>Gegen Unbeheizt (K. teilw. im Erdreich) (ungedämmt und/oder undicht)</t>
  </si>
  <si>
    <t>Gegen Unbeheizt (K. teilw. im Erdreich) (gedämmt, luftdicht)</t>
  </si>
  <si>
    <t>Gegen Unbeheizt (Keller im Erdreich) (gedämmt, luftdicht)</t>
  </si>
  <si>
    <t>WS6ExpertCodes:</t>
  </si>
  <si>
    <t>WL-1</t>
  </si>
  <si>
    <t>WL-2</t>
  </si>
  <si>
    <t>WL-3</t>
  </si>
  <si>
    <t>WL-4</t>
  </si>
  <si>
    <t>WL-5</t>
  </si>
  <si>
    <t>WL-6</t>
  </si>
  <si>
    <t>WL-7</t>
  </si>
  <si>
    <t>WL-8</t>
  </si>
  <si>
    <t>WL-9</t>
  </si>
  <si>
    <t>WL-10</t>
  </si>
  <si>
    <t>WR-1</t>
  </si>
  <si>
    <t>WR-2</t>
  </si>
  <si>
    <t>WR-3</t>
  </si>
  <si>
    <t>WR-4</t>
  </si>
  <si>
    <t>WR-5</t>
  </si>
  <si>
    <t>WR-6</t>
  </si>
  <si>
    <t>WR-7</t>
  </si>
  <si>
    <t>WR-8</t>
  </si>
  <si>
    <t>WR-9</t>
  </si>
  <si>
    <t>WR-10</t>
  </si>
  <si>
    <t>ThermalBridgeType:</t>
  </si>
  <si>
    <t>Decke/Wand</t>
  </si>
  <si>
    <t>Gebäudesockel</t>
  </si>
  <si>
    <t>Balkon</t>
  </si>
  <si>
    <t>Fensteranschlag</t>
  </si>
  <si>
    <t>Boden/Kellerwand</t>
  </si>
  <si>
    <t>Dach/Aussenwand</t>
  </si>
  <si>
    <t>Rolladen</t>
  </si>
  <si>
    <t>Dachrand</t>
  </si>
  <si>
    <t>Innenwand/Aussenwand</t>
  </si>
  <si>
    <t>Stütze/Träger</t>
  </si>
  <si>
    <t>Benutzerdefiniert - Punktförmig</t>
  </si>
  <si>
    <t>Benutzerdefiniert - Linear</t>
  </si>
  <si>
    <t>LU-1</t>
  </si>
  <si>
    <t>LU-2</t>
  </si>
  <si>
    <t>LU-3</t>
  </si>
  <si>
    <t>LU-4</t>
  </si>
  <si>
    <t>LU-5</t>
  </si>
  <si>
    <t>LU-6</t>
  </si>
  <si>
    <t>LU-7</t>
  </si>
  <si>
    <t>LU-8</t>
  </si>
  <si>
    <t>LU-9</t>
  </si>
  <si>
    <t>LU-10</t>
  </si>
  <si>
    <t>StandardVentilationType:</t>
  </si>
  <si>
    <t>Externe Berechnung</t>
  </si>
  <si>
    <t>Fensterlüftung (manuell)</t>
  </si>
  <si>
    <t>Einfache Lüftungsanlage (mit Zu- und Abluft)</t>
  </si>
  <si>
    <t>Lüftungsanlage mit Lufterwärmung (WRG, mit Zu- und Abluft)</t>
  </si>
  <si>
    <t>Lüftungsanlage mit Abluft-Wärmepumpe (mit Zu- und Abluft)</t>
  </si>
  <si>
    <t xml:space="preserve">Einfache Abluftanlage (ohne WRG) </t>
  </si>
  <si>
    <t>Abluftanlage mit Abwärmenutzung (Abluft-Wärmepumpe)</t>
  </si>
  <si>
    <t>Einzelraumlüftung (mit WRG)</t>
  </si>
  <si>
    <t>Fensterlüftung (automatisch)</t>
  </si>
  <si>
    <t>HeatExchangerType:</t>
  </si>
  <si>
    <t>Keine Wärmerückgewinnung</t>
  </si>
  <si>
    <t>Kreuzstrom-Wärmetauscher</t>
  </si>
  <si>
    <t>Gegenstrom-Wärmetauscher</t>
  </si>
  <si>
    <t>Rotations-Wärmetauscher</t>
  </si>
  <si>
    <t>FanType:</t>
  </si>
  <si>
    <t>Ohne</t>
  </si>
  <si>
    <t>AC-Motor</t>
  </si>
  <si>
    <t>DC/EC-Motor</t>
  </si>
  <si>
    <t>CalculationBase_OnlyLump:</t>
  </si>
  <si>
    <t>EnergySources:</t>
  </si>
  <si>
    <t>Elektrizität (HT)</t>
  </si>
  <si>
    <t>Elektrizität (MT)</t>
  </si>
  <si>
    <t>Elektrizität (NT)</t>
  </si>
  <si>
    <t>Elektrizität (Produktion)</t>
  </si>
  <si>
    <t>Kohlebrickets</t>
  </si>
  <si>
    <t>Erdgas (inkl. Biogas)</t>
  </si>
  <si>
    <t>Heizöl</t>
  </si>
  <si>
    <t>Fernwärme Anteil fossil &lt;= 50 %</t>
  </si>
  <si>
    <t>Holzpellets</t>
  </si>
  <si>
    <t>Holzschnitzel</t>
  </si>
  <si>
    <t>Stückholz</t>
  </si>
  <si>
    <t>Thermische Sonnenenergie</t>
  </si>
  <si>
    <t>Elektrizität (Wärmepumpe)</t>
  </si>
  <si>
    <t>Fernwärme Anteil fossil &lt;= 25 %</t>
  </si>
  <si>
    <t>Fernwärme Anteil fossil &lt;= 75 %</t>
  </si>
  <si>
    <t>Fernwärme Anteil fossil &gt; 75 %</t>
  </si>
  <si>
    <t>HeatProducerOversize:</t>
  </si>
  <si>
    <t>1</t>
  </si>
  <si>
    <t>1.2</t>
  </si>
  <si>
    <t>1.5</t>
  </si>
  <si>
    <t>2</t>
  </si>
  <si>
    <t>3</t>
  </si>
  <si>
    <t>HeatProducerTypes:</t>
  </si>
  <si>
    <t>Ölfeuerung</t>
  </si>
  <si>
    <t>Ölfeuerung kondensierend</t>
  </si>
  <si>
    <t>Gasfeuerung</t>
  </si>
  <si>
    <t>Gasfeuerung kondensierend</t>
  </si>
  <si>
    <t>Holzfeuerung (automatisch)</t>
  </si>
  <si>
    <t>Holzfeuerung (handbeschickt)</t>
  </si>
  <si>
    <t>Pelletfeuerung (automatisch)</t>
  </si>
  <si>
    <t>Pelletfeuerung (handbeschickt)</t>
  </si>
  <si>
    <t>Fernwärme</t>
  </si>
  <si>
    <t>Wärmeversorgung mit BHKW</t>
  </si>
  <si>
    <t>Mini-BHKW</t>
  </si>
  <si>
    <t>Elektrospeicher- Zentralheizung</t>
  </si>
  <si>
    <t>Elektro direkt</t>
  </si>
  <si>
    <t>Elektro-Wassererwärmer</t>
  </si>
  <si>
    <t>Wärmepumpe, Aussenluft</t>
  </si>
  <si>
    <t>Wärmepumpe, Erdwärmesonde</t>
  </si>
  <si>
    <t>Wärmepumpe, Abwasser</t>
  </si>
  <si>
    <t>Wärmepumpe, Grundwasser, direkt</t>
  </si>
  <si>
    <t>Wärmepumpe, Grundwasser, indirekt</t>
  </si>
  <si>
    <t>Wärmepumpe Erdregister</t>
  </si>
  <si>
    <t>Lüftungsgerät mit Abluft / Zuluft - WP plus WRG</t>
  </si>
  <si>
    <t>Lüftungsgerät mit Abluft / Zuluft - WP ohne WRG</t>
  </si>
  <si>
    <t>Lüftungsgerät mit Abluft-Wärmepumpe (keine Zuluft)</t>
  </si>
  <si>
    <t>Kompakt-WP mit Zu- &amp; Abluft / WW plus WRG</t>
  </si>
  <si>
    <t>Kompakt-WP mit Zu- &amp; Abluft / WW ohne WRG</t>
  </si>
  <si>
    <t>Solarenergie thermisch</t>
  </si>
  <si>
    <t>Wärmepumpenboiler Trinkwarmwasser</t>
  </si>
  <si>
    <t>Holzofen als Zusatzheizung</t>
  </si>
  <si>
    <t>SuppliedDistributionSystems:</t>
  </si>
  <si>
    <t>Heizung (H)</t>
  </si>
  <si>
    <t>Warmwasser (WW)</t>
  </si>
  <si>
    <t>H + WW (ganzjährig)</t>
  </si>
  <si>
    <t>H + WW (nur Heizperiode)</t>
  </si>
  <si>
    <t>HeatingSupplyType:</t>
  </si>
  <si>
    <t>Radiatoren</t>
  </si>
  <si>
    <t>Flächenheizung</t>
  </si>
  <si>
    <t>HeatProducerCondition:</t>
  </si>
  <si>
    <t>Gut</t>
  </si>
  <si>
    <t>Mittel</t>
  </si>
  <si>
    <t>Schlecht</t>
  </si>
  <si>
    <t>InOutThermalEnvelope:</t>
  </si>
  <si>
    <t>Innerhalb thermischer Gebäudehülle</t>
  </si>
  <si>
    <t>Ausserhalb thermischer Gebäudehülle</t>
  </si>
  <si>
    <t>SP-1</t>
  </si>
  <si>
    <t>SP-2</t>
  </si>
  <si>
    <t>SP-3</t>
  </si>
  <si>
    <t>SP-4</t>
  </si>
  <si>
    <t>SP-5</t>
  </si>
  <si>
    <t>SP-6</t>
  </si>
  <si>
    <t>SP-7</t>
  </si>
  <si>
    <t>SP-8</t>
  </si>
  <si>
    <t>SP-9</t>
  </si>
  <si>
    <t>SP-10</t>
  </si>
  <si>
    <t>ReservoirType:</t>
  </si>
  <si>
    <t>Warmwasserspeicher</t>
  </si>
  <si>
    <t>Heizungsspeicher</t>
  </si>
  <si>
    <t>Kombispeicher</t>
  </si>
  <si>
    <t>Heizungsspeichervolumen in Liter:</t>
  </si>
  <si>
    <t>x</t>
  </si>
  <si>
    <t>Quality:</t>
  </si>
  <si>
    <t>Sehr gut</t>
  </si>
  <si>
    <t>Mittelmässig</t>
  </si>
  <si>
    <t>Ungenügend</t>
  </si>
  <si>
    <t>WS9ExpertCodes:</t>
  </si>
  <si>
    <t>HE-1</t>
  </si>
  <si>
    <t>HE-2</t>
  </si>
  <si>
    <t>HE-3</t>
  </si>
  <si>
    <t>HE-4</t>
  </si>
  <si>
    <t>HE-5</t>
  </si>
  <si>
    <t>HE-6</t>
  </si>
  <si>
    <t>HE-7</t>
  </si>
  <si>
    <t>HE-8</t>
  </si>
  <si>
    <t>HE-9</t>
  </si>
  <si>
    <t>HE-10</t>
  </si>
  <si>
    <t>HeatingType:</t>
  </si>
  <si>
    <t>zentral</t>
  </si>
  <si>
    <t>dezentral</t>
  </si>
  <si>
    <t>HeatEmission:</t>
  </si>
  <si>
    <t>Konvektion und Strahlung</t>
  </si>
  <si>
    <t>ExpertCodes:</t>
  </si>
  <si>
    <t>PartialBool:</t>
  </si>
  <si>
    <t>nein</t>
  </si>
  <si>
    <t>ja</t>
  </si>
  <si>
    <t>teilweise</t>
  </si>
  <si>
    <t>HeatingFlows:</t>
  </si>
  <si>
    <t>90/70</t>
  </si>
  <si>
    <t>70/55</t>
  </si>
  <si>
    <t>55/40</t>
  </si>
  <si>
    <t>50/38</t>
  </si>
  <si>
    <t>45/35</t>
  </si>
  <si>
    <t>40/32</t>
  </si>
  <si>
    <t>35/28</t>
  </si>
  <si>
    <t>30/25</t>
  </si>
  <si>
    <t>UnknownBool:</t>
  </si>
  <si>
    <t>unbekannt</t>
  </si>
  <si>
    <t>WS10ExpertCodes:</t>
  </si>
  <si>
    <t>WW-1</t>
  </si>
  <si>
    <t>WW-2</t>
  </si>
  <si>
    <t>WW-3</t>
  </si>
  <si>
    <t>WW-4</t>
  </si>
  <si>
    <t>WW-5</t>
  </si>
  <si>
    <t>WW-6</t>
  </si>
  <si>
    <t>WW-7</t>
  </si>
  <si>
    <t>WW-8</t>
  </si>
  <si>
    <t>WW-9</t>
  </si>
  <si>
    <t>WW-10</t>
  </si>
  <si>
    <t>WarmWaterWarmKeeping:</t>
  </si>
  <si>
    <t>Zirkulation</t>
  </si>
  <si>
    <t>Heizband</t>
  </si>
  <si>
    <t>keine</t>
  </si>
  <si>
    <t>kWh HS</t>
  </si>
  <si>
    <t>Bad/WC-Abluft</t>
  </si>
  <si>
    <t>Dampfabzug Abluft</t>
  </si>
  <si>
    <t>Dampfabzug Umluft</t>
  </si>
  <si>
    <t>Elektro-Backofen</t>
  </si>
  <si>
    <t>Elektro-Kochherd</t>
  </si>
  <si>
    <t>Gasbackofen</t>
  </si>
  <si>
    <t>Gaskochherd</t>
  </si>
  <si>
    <t>Geschirrspüler (mit Warmwasseranschluss)</t>
  </si>
  <si>
    <t>Geschirrspüler (ohne Warmwasseranschluss)</t>
  </si>
  <si>
    <t>Komfortlüftung mit WRG (pro Wohnung)</t>
  </si>
  <si>
    <t>Kühlschrank &lt; 160 l, mit Tiefkühlfach</t>
  </si>
  <si>
    <t>Kühlschrank &lt; 160 l, ohne Tiefkühlfach</t>
  </si>
  <si>
    <t>Kühlschrank &gt; 160 l, mit Tiefkühlfach</t>
  </si>
  <si>
    <t>Kühlschrank &gt; 160 l, ohne Tiefkühlfach</t>
  </si>
  <si>
    <t>Lift</t>
  </si>
  <si>
    <t>Raumlufttrockner</t>
  </si>
  <si>
    <t>Separates Gefriergerät (gross)</t>
  </si>
  <si>
    <t>Separates Gefriergerät (klein)</t>
  </si>
  <si>
    <t>Wäschetrocknung</t>
  </si>
  <si>
    <t>Waschmaschine (mit Warmwasseranschluss)</t>
  </si>
  <si>
    <t>Waschmaschine (ohne Warmwasseranschluss)</t>
  </si>
  <si>
    <t>WS12ExpertCodes:</t>
  </si>
  <si>
    <t>GE-1</t>
  </si>
  <si>
    <t>GE-2</t>
  </si>
  <si>
    <t>GE-3</t>
  </si>
  <si>
    <t>GE-4</t>
  </si>
  <si>
    <t>GE-5</t>
  </si>
  <si>
    <t>GE-6</t>
  </si>
  <si>
    <t>GE-7</t>
  </si>
  <si>
    <t>GE-8</t>
  </si>
  <si>
    <t>GE-9</t>
  </si>
  <si>
    <t>GE-10</t>
  </si>
  <si>
    <t>DeviceQuality:</t>
  </si>
  <si>
    <t>Standard</t>
  </si>
  <si>
    <t>Boolean:</t>
  </si>
  <si>
    <t>Ja</t>
  </si>
  <si>
    <t>Aktuelle Nutzungsdaten</t>
  </si>
  <si>
    <t>WS13ExpertCodes:</t>
  </si>
  <si>
    <t>KE-1</t>
  </si>
  <si>
    <t>KE-2</t>
  </si>
  <si>
    <t>KE-3</t>
  </si>
  <si>
    <t>KE-4</t>
  </si>
  <si>
    <t>KE-5</t>
  </si>
  <si>
    <t>KE-6</t>
  </si>
  <si>
    <t>KE-7</t>
  </si>
  <si>
    <t>KE-8</t>
  </si>
  <si>
    <t>KE-9</t>
  </si>
  <si>
    <t>KE-10</t>
  </si>
  <si>
    <t>ExpansionDegrees:</t>
  </si>
  <si>
    <t>Bescheiden</t>
  </si>
  <si>
    <t>Hoch</t>
  </si>
  <si>
    <t>WS15ExpertCodes:</t>
  </si>
  <si>
    <t>BG-1</t>
  </si>
  <si>
    <t>BG-2</t>
  </si>
  <si>
    <t>BG-3</t>
  </si>
  <si>
    <t>BG-4</t>
  </si>
  <si>
    <t>BG-5</t>
  </si>
  <si>
    <t>BG-6</t>
  </si>
  <si>
    <t>BG-7</t>
  </si>
  <si>
    <t>BG-8</t>
  </si>
  <si>
    <t>BG-9</t>
  </si>
  <si>
    <t>BG-10</t>
  </si>
  <si>
    <t>ElectronicsQualities:</t>
  </si>
  <si>
    <t>Top Modern</t>
  </si>
  <si>
    <t>Modern</t>
  </si>
  <si>
    <t>Veraltet</t>
  </si>
  <si>
    <t>BL-1</t>
  </si>
  <si>
    <t>BL-2</t>
  </si>
  <si>
    <t>BL-3</t>
  </si>
  <si>
    <t>BL-4</t>
  </si>
  <si>
    <t>BL-5</t>
  </si>
  <si>
    <t>BL-6</t>
  </si>
  <si>
    <t>BL-7</t>
  </si>
  <si>
    <t>BL-8</t>
  </si>
  <si>
    <t>BL-9</t>
  </si>
  <si>
    <t>BL-10</t>
  </si>
  <si>
    <t>LightingQuality:</t>
  </si>
  <si>
    <t>75-100 % Eff-Leuchten mit Regelung</t>
  </si>
  <si>
    <t>75-100 % Eff-Leuchten</t>
  </si>
  <si>
    <t>25-75 % Eff-Leuchten</t>
  </si>
  <si>
    <t>0-25 % Eff-Leuchten</t>
  </si>
  <si>
    <t>WV-2</t>
  </si>
  <si>
    <t>WV-3</t>
  </si>
  <si>
    <t>WV-4</t>
  </si>
  <si>
    <t>WV-5</t>
  </si>
  <si>
    <t>WV-6</t>
  </si>
  <si>
    <t>WV-7</t>
  </si>
  <si>
    <t>WV-8</t>
  </si>
  <si>
    <t>WV-9</t>
  </si>
  <si>
    <t>WV-10</t>
  </si>
  <si>
    <t>nicht gebäudezugehöriger Verbraucher</t>
  </si>
  <si>
    <t>gebäudezugehöriger Verbraucher</t>
  </si>
  <si>
    <t>Elektrizitätsprod. ohne PVopti</t>
  </si>
  <si>
    <t>WS16ExpertCodes:</t>
  </si>
  <si>
    <t>EP-1</t>
  </si>
  <si>
    <t>EP-2</t>
  </si>
  <si>
    <t>EP-3</t>
  </si>
  <si>
    <t>EP-4</t>
  </si>
  <si>
    <t>EP-5</t>
  </si>
  <si>
    <t>EP-6</t>
  </si>
  <si>
    <t>EP-7</t>
  </si>
  <si>
    <t>EP-8</t>
  </si>
  <si>
    <t>EP-9</t>
  </si>
  <si>
    <t>EP-10</t>
  </si>
  <si>
    <t>ElectricityProducerType:</t>
  </si>
  <si>
    <t>PV</t>
  </si>
  <si>
    <t>WKK</t>
  </si>
  <si>
    <t>EM-1</t>
  </si>
  <si>
    <t>EnergyManagementSystemType:</t>
  </si>
  <si>
    <t>Kein EMS</t>
  </si>
  <si>
    <t>Einfaches EMS</t>
  </si>
  <si>
    <t>Zertifiziertes EMS (Minergie)</t>
  </si>
  <si>
    <t>ConsumerMeterType:</t>
  </si>
  <si>
    <t>Elektrizität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</si>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</sst>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_ * #,##0.00_ ;_ * \-#,##0.00_ ;_ * &quot;-&quot;??_ ;_ @_ "/>
    <numFmt numFmtId="198" formatCode="0.0"/>
    <numFmt numFmtId="204" formatCode="0.00;[Red]0.00"/>
    <numFmt numFmtId="207" formatCode="0;[Red]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Segoe UI"/>
      <family val="2"/>
    </font>
    <font>
      <b/>
      <sz val="9"/>
      <color indexed="10"/>
      <name val="Segoe UI"/>
      <family val="2"/>
    </font>
    <font>
      <sz val="9"/>
      <color indexed="8"/>
      <name val="Segoe U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rgb="FFFA7D00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1"/>
      <color rgb="FF7F7F7F"/>
      <name val="Calibri"/>
      <family val="2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2"/>
    </font>
    <font>
      <sz val="11"/>
      <color rgb="FFFA7D00"/>
      <name val="Calibri"/>
      <family val="2"/>
      <scheme val="minor"/>
    </font>
    <font>
      <sz val="11"/>
      <color rgb="FFFA7D00"/>
      <name val="Calibri"/>
      <family val="2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b/>
      <sz val="18"/>
      <color theme="3"/>
      <name val="Cambria"/>
      <family val="2"/>
      <scheme val="major"/>
    </font>
    <font>
      <b/>
      <sz val="18"/>
      <color theme="3"/>
      <name val="Cambria"/>
      <family val="2"/>
    </font>
    <font>
      <b/>
      <sz val="11"/>
      <color theme="1"/>
      <name val="Calibri"/>
      <family val="2"/>
      <scheme val="minor"/>
    </font>
    <font>
      <sz val="11"/>
      <color indexed="1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</font>
  </fonts>
  <fills count="9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theme="4" tint="0.59987182226020086"/>
        <bgColor indexed="64"/>
      </patternFill>
    </fill>
    <fill>
      <patternFill patternType="solid">
        <fgColor theme="4" tint="0.59984130375072486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4" tint="0.59978026673177287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5" tint="0.59990234076967686"/>
        <bgColor indexed="64"/>
      </patternFill>
    </fill>
    <fill>
      <patternFill patternType="solid">
        <fgColor theme="5" tint="0.59987182226020086"/>
        <bgColor indexed="64"/>
      </patternFill>
    </fill>
    <fill>
      <patternFill patternType="solid">
        <fgColor theme="5" tint="0.59984130375072486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5" tint="0.59978026673177287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6" tint="0.59990234076967686"/>
        <bgColor indexed="64"/>
      </patternFill>
    </fill>
    <fill>
      <patternFill patternType="solid">
        <fgColor theme="6" tint="0.59987182226020086"/>
        <bgColor indexed="64"/>
      </patternFill>
    </fill>
    <fill>
      <patternFill patternType="solid">
        <fgColor theme="6" tint="0.59984130375072486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6" tint="0.599780266731772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7" tint="0.59987182226020086"/>
        <bgColor indexed="64"/>
      </patternFill>
    </fill>
    <fill>
      <patternFill patternType="solid">
        <fgColor theme="7" tint="0.59984130375072486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7" tint="0.59978026673177287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8" tint="0.59990234076967686"/>
        <bgColor indexed="64"/>
      </patternFill>
    </fill>
    <fill>
      <patternFill patternType="solid">
        <fgColor theme="8" tint="0.59987182226020086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8" tint="0.59978026673177287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59987182226020086"/>
        <bgColor indexed="64"/>
      </patternFill>
    </fill>
    <fill>
      <patternFill patternType="solid">
        <fgColor theme="9" tint="0.59984130375072486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9" tint="0.59978026673177287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thick">
        <color theme="4" tint="0.49989318521683401"/>
      </bottom>
      <diagonal/>
    </border>
    <border>
      <left/>
      <right/>
      <top/>
      <bottom style="thick">
        <color theme="4" tint="0.49986266670735802"/>
      </bottom>
      <diagonal/>
    </border>
    <border>
      <left/>
      <right/>
      <top/>
      <bottom style="thick">
        <color theme="4" tint="0.49983214819788202"/>
      </bottom>
      <diagonal/>
    </border>
    <border>
      <left/>
      <right/>
      <top/>
      <bottom style="thick">
        <color theme="4" tint="0.49980162968840602"/>
      </bottom>
      <diagonal/>
    </border>
    <border>
      <left/>
      <right/>
      <top/>
      <bottom style="thick">
        <color theme="4" tint="0.49977111117893003"/>
      </bottom>
      <diagonal/>
    </border>
    <border>
      <left/>
      <right/>
      <top/>
      <bottom style="thick">
        <color theme="4" tint="0.49974059266945403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26">
    <xf numFmtId="0" fontId="0" fillId="0" borderId="0"/>
    <xf numFmtId="0" fontId="14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4" fillId="54" borderId="0" applyNumberFormat="0" applyBorder="0" applyAlignment="0" applyProtection="0"/>
    <xf numFmtId="0" fontId="14" fillId="55" borderId="0" applyNumberFormat="0" applyBorder="0" applyAlignment="0" applyProtection="0"/>
    <xf numFmtId="0" fontId="14" fillId="56" borderId="0" applyNumberFormat="0" applyBorder="0" applyAlignment="0" applyProtection="0"/>
    <xf numFmtId="0" fontId="14" fillId="57" borderId="0" applyNumberFormat="0" applyBorder="0" applyAlignment="0" applyProtection="0"/>
    <xf numFmtId="0" fontId="14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14" fillId="62" borderId="0" applyNumberFormat="0" applyBorder="0" applyAlignment="0" applyProtection="0"/>
    <xf numFmtId="0" fontId="14" fillId="63" borderId="0" applyNumberFormat="0" applyBorder="0" applyAlignment="0" applyProtection="0"/>
    <xf numFmtId="0" fontId="14" fillId="64" borderId="0" applyNumberFormat="0" applyBorder="0" applyAlignment="0" applyProtection="0"/>
    <xf numFmtId="0" fontId="14" fillId="65" borderId="0" applyNumberFormat="0" applyBorder="0" applyAlignment="0" applyProtection="0"/>
    <xf numFmtId="0" fontId="14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4" fillId="70" borderId="0" applyNumberFormat="0" applyBorder="0" applyAlignment="0" applyProtection="0"/>
    <xf numFmtId="0" fontId="14" fillId="71" borderId="0" applyNumberFormat="0" applyBorder="0" applyAlignment="0" applyProtection="0"/>
    <xf numFmtId="0" fontId="14" fillId="72" borderId="0" applyNumberFormat="0" applyBorder="0" applyAlignment="0" applyProtection="0"/>
    <xf numFmtId="0" fontId="14" fillId="73" borderId="0" applyNumberFormat="0" applyBorder="0" applyAlignment="0" applyProtection="0"/>
    <xf numFmtId="0" fontId="15" fillId="77" borderId="0" applyNumberFormat="0" applyBorder="0" applyAlignment="0" applyProtection="0"/>
    <xf numFmtId="0" fontId="3" fillId="77" borderId="0" applyNumberFormat="0" applyBorder="0" applyAlignment="0" applyProtection="0"/>
    <xf numFmtId="0" fontId="15" fillId="77" borderId="0" applyNumberFormat="0" applyBorder="0" applyAlignment="0" applyProtection="0"/>
    <xf numFmtId="0" fontId="15" fillId="78" borderId="0" applyNumberFormat="0" applyBorder="0" applyAlignment="0" applyProtection="0"/>
    <xf numFmtId="0" fontId="3" fillId="78" borderId="0" applyNumberFormat="0" applyBorder="0" applyAlignment="0" applyProtection="0"/>
    <xf numFmtId="0" fontId="15" fillId="78" borderId="0" applyNumberFormat="0" applyBorder="0" applyAlignment="0" applyProtection="0"/>
    <xf numFmtId="0" fontId="15" fillId="79" borderId="0" applyNumberFormat="0" applyBorder="0" applyAlignment="0" applyProtection="0"/>
    <xf numFmtId="0" fontId="3" fillId="79" borderId="0" applyNumberFormat="0" applyBorder="0" applyAlignment="0" applyProtection="0"/>
    <xf numFmtId="0" fontId="15" fillId="79" borderId="0" applyNumberFormat="0" applyBorder="0" applyAlignment="0" applyProtection="0"/>
    <xf numFmtId="0" fontId="15" fillId="80" borderId="0" applyNumberFormat="0" applyBorder="0" applyAlignment="0" applyProtection="0"/>
    <xf numFmtId="0" fontId="3" fillId="80" borderId="0" applyNumberFormat="0" applyBorder="0" applyAlignment="0" applyProtection="0"/>
    <xf numFmtId="0" fontId="15" fillId="80" borderId="0" applyNumberFormat="0" applyBorder="0" applyAlignment="0" applyProtection="0"/>
    <xf numFmtId="0" fontId="15" fillId="81" borderId="0" applyNumberFormat="0" applyBorder="0" applyAlignment="0" applyProtection="0"/>
    <xf numFmtId="0" fontId="3" fillId="81" borderId="0" applyNumberFormat="0" applyBorder="0" applyAlignment="0" applyProtection="0"/>
    <xf numFmtId="0" fontId="15" fillId="81" borderId="0" applyNumberFormat="0" applyBorder="0" applyAlignment="0" applyProtection="0"/>
    <xf numFmtId="0" fontId="15" fillId="82" borderId="0" applyNumberFormat="0" applyBorder="0" applyAlignment="0" applyProtection="0"/>
    <xf numFmtId="0" fontId="3" fillId="82" borderId="0" applyNumberFormat="0" applyBorder="0" applyAlignment="0" applyProtection="0"/>
    <xf numFmtId="0" fontId="15" fillId="82" borderId="0" applyNumberFormat="0" applyBorder="0" applyAlignment="0" applyProtection="0"/>
    <xf numFmtId="0" fontId="15" fillId="83" borderId="0" applyNumberFormat="0" applyBorder="0" applyAlignment="0" applyProtection="0"/>
    <xf numFmtId="0" fontId="3" fillId="83" borderId="0" applyNumberFormat="0" applyBorder="0" applyAlignment="0" applyProtection="0"/>
    <xf numFmtId="0" fontId="15" fillId="83" borderId="0" applyNumberFormat="0" applyBorder="0" applyAlignment="0" applyProtection="0"/>
    <xf numFmtId="0" fontId="15" fillId="84" borderId="0" applyNumberFormat="0" applyBorder="0" applyAlignment="0" applyProtection="0"/>
    <xf numFmtId="0" fontId="3" fillId="84" borderId="0" applyNumberFormat="0" applyBorder="0" applyAlignment="0" applyProtection="0"/>
    <xf numFmtId="0" fontId="15" fillId="84" borderId="0" applyNumberFormat="0" applyBorder="0" applyAlignment="0" applyProtection="0"/>
    <xf numFmtId="0" fontId="15" fillId="85" borderId="0" applyNumberFormat="0" applyBorder="0" applyAlignment="0" applyProtection="0"/>
    <xf numFmtId="0" fontId="3" fillId="85" borderId="0" applyNumberFormat="0" applyBorder="0" applyAlignment="0" applyProtection="0"/>
    <xf numFmtId="0" fontId="15" fillId="85" borderId="0" applyNumberFormat="0" applyBorder="0" applyAlignment="0" applyProtection="0"/>
    <xf numFmtId="0" fontId="15" fillId="86" borderId="0" applyNumberFormat="0" applyBorder="0" applyAlignment="0" applyProtection="0"/>
    <xf numFmtId="0" fontId="3" fillId="86" borderId="0" applyNumberFormat="0" applyBorder="0" applyAlignment="0" applyProtection="0"/>
    <xf numFmtId="0" fontId="15" fillId="86" borderId="0" applyNumberFormat="0" applyBorder="0" applyAlignment="0" applyProtection="0"/>
    <xf numFmtId="0" fontId="15" fillId="87" borderId="0" applyNumberFormat="0" applyBorder="0" applyAlignment="0" applyProtection="0"/>
    <xf numFmtId="0" fontId="3" fillId="87" borderId="0" applyNumberFormat="0" applyBorder="0" applyAlignment="0" applyProtection="0"/>
    <xf numFmtId="0" fontId="15" fillId="87" borderId="0" applyNumberFormat="0" applyBorder="0" applyAlignment="0" applyProtection="0"/>
    <xf numFmtId="0" fontId="15" fillId="88" borderId="0" applyNumberFormat="0" applyBorder="0" applyAlignment="0" applyProtection="0"/>
    <xf numFmtId="0" fontId="3" fillId="88" borderId="0" applyNumberFormat="0" applyBorder="0" applyAlignment="0" applyProtection="0"/>
    <xf numFmtId="0" fontId="15" fillId="88" borderId="0" applyNumberFormat="0" applyBorder="0" applyAlignment="0" applyProtection="0"/>
    <xf numFmtId="0" fontId="16" fillId="89" borderId="0" applyNumberFormat="0" applyBorder="0" applyAlignment="0" applyProtection="0"/>
    <xf numFmtId="0" fontId="17" fillId="89" borderId="0" applyNumberFormat="0" applyBorder="0" applyAlignment="0" applyProtection="0"/>
    <xf numFmtId="0" fontId="16" fillId="89" borderId="0" applyNumberFormat="0" applyBorder="0" applyAlignment="0" applyProtection="0"/>
    <xf numFmtId="0" fontId="18" fillId="90" borderId="45" applyNumberFormat="0" applyAlignment="0" applyProtection="0"/>
    <xf numFmtId="0" fontId="19" fillId="90" borderId="45" applyNumberFormat="0" applyAlignment="0" applyProtection="0"/>
    <xf numFmtId="0" fontId="18" fillId="90" borderId="45" applyNumberFormat="0" applyAlignment="0" applyProtection="0"/>
    <xf numFmtId="0" fontId="20" fillId="91" borderId="46" applyNumberFormat="0" applyAlignment="0" applyProtection="0"/>
    <xf numFmtId="0" fontId="4" fillId="91" borderId="46" applyNumberFormat="0" applyAlignment="0" applyProtection="0"/>
    <xf numFmtId="0" fontId="20" fillId="91" borderId="46" applyNumberFormat="0" applyAlignment="0" applyProtection="0"/>
    <xf numFmtId="177" fontId="14" fillId="0" borderId="0" applyFill="0" applyBorder="0" applyAlignment="0" applyProtection="0"/>
    <xf numFmtId="177" fontId="14" fillId="0" borderId="0" applyFill="0" applyBorder="0" applyAlignment="0" applyProtection="0"/>
    <xf numFmtId="177" fontId="14" fillId="0" borderId="0" applyFill="0" applyBorder="0" applyAlignment="0" applyProtection="0"/>
    <xf numFmtId="177" fontId="14" fillId="0" borderId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92" borderId="0" applyNumberFormat="0" applyBorder="0" applyAlignment="0" applyProtection="0"/>
    <xf numFmtId="0" fontId="24" fillId="92" borderId="0" applyNumberFormat="0" applyBorder="0" applyAlignment="0" applyProtection="0"/>
    <xf numFmtId="0" fontId="23" fillId="92" borderId="0" applyNumberFormat="0" applyBorder="0" applyAlignment="0" applyProtection="0"/>
    <xf numFmtId="0" fontId="25" fillId="0" borderId="47" applyNumberFormat="0" applyFill="0" applyAlignment="0" applyProtection="0"/>
    <xf numFmtId="0" fontId="26" fillId="0" borderId="47" applyNumberFormat="0" applyFill="0" applyAlignment="0" applyProtection="0"/>
    <xf numFmtId="0" fontId="27" fillId="0" borderId="48" applyNumberFormat="0" applyFill="0" applyAlignment="0" applyProtection="0"/>
    <xf numFmtId="0" fontId="28" fillId="0" borderId="49" applyNumberFormat="0" applyFill="0" applyAlignment="0" applyProtection="0"/>
    <xf numFmtId="0" fontId="28" fillId="0" borderId="50" applyNumberFormat="0" applyFill="0" applyAlignment="0" applyProtection="0"/>
    <xf numFmtId="0" fontId="28" fillId="0" borderId="51" applyNumberFormat="0" applyFill="0" applyAlignment="0" applyProtection="0"/>
    <xf numFmtId="0" fontId="28" fillId="0" borderId="52" applyNumberFormat="0" applyFill="0" applyAlignment="0" applyProtection="0"/>
    <xf numFmtId="0" fontId="28" fillId="0" borderId="53" applyNumberFormat="0" applyFill="0" applyAlignment="0" applyProtection="0"/>
    <xf numFmtId="0" fontId="28" fillId="0" borderId="54" applyNumberFormat="0" applyFill="0" applyAlignment="0" applyProtection="0"/>
    <xf numFmtId="0" fontId="28" fillId="0" borderId="55" applyNumberFormat="0" applyFill="0" applyAlignment="0" applyProtection="0"/>
    <xf numFmtId="0" fontId="27" fillId="0" borderId="49" applyNumberFormat="0" applyFill="0" applyAlignment="0" applyProtection="0"/>
    <xf numFmtId="0" fontId="27" fillId="0" borderId="50" applyNumberFormat="0" applyFill="0" applyAlignment="0" applyProtection="0"/>
    <xf numFmtId="0" fontId="27" fillId="0" borderId="51" applyNumberFormat="0" applyFill="0" applyAlignment="0" applyProtection="0"/>
    <xf numFmtId="0" fontId="27" fillId="0" borderId="52" applyNumberFormat="0" applyFill="0" applyAlignment="0" applyProtection="0"/>
    <xf numFmtId="0" fontId="29" fillId="0" borderId="56" applyNumberFormat="0" applyFill="0" applyAlignment="0" applyProtection="0"/>
    <xf numFmtId="0" fontId="30" fillId="0" borderId="56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2" fillId="3" borderId="45" applyNumberFormat="0" applyAlignment="0" applyProtection="0"/>
    <xf numFmtId="0" fontId="33" fillId="3" borderId="45" applyNumberFormat="0" applyAlignment="0" applyProtection="0"/>
    <xf numFmtId="0" fontId="32" fillId="3" borderId="45" applyNumberFormat="0" applyAlignment="0" applyProtection="0"/>
    <xf numFmtId="0" fontId="34" fillId="0" borderId="57" applyNumberFormat="0" applyFill="0" applyAlignment="0" applyProtection="0"/>
    <xf numFmtId="0" fontId="35" fillId="0" borderId="57" applyNumberFormat="0" applyFill="0" applyAlignment="0" applyProtection="0"/>
    <xf numFmtId="0" fontId="36" fillId="93" borderId="0" applyNumberFormat="0" applyBorder="0" applyAlignment="0" applyProtection="0"/>
    <xf numFmtId="0" fontId="37" fillId="93" borderId="0" applyNumberFormat="0" applyBorder="0" applyAlignment="0" applyProtection="0"/>
    <xf numFmtId="0" fontId="36" fillId="93" borderId="0" applyNumberFormat="0" applyBorder="0" applyAlignment="0" applyProtection="0"/>
    <xf numFmtId="0" fontId="1" fillId="0" borderId="0"/>
    <xf numFmtId="0" fontId="14" fillId="2" borderId="58" applyNumberFormat="0" applyAlignment="0" applyProtection="0"/>
    <xf numFmtId="0" fontId="1" fillId="2" borderId="58" applyNumberFormat="0" applyFont="0" applyAlignment="0" applyProtection="0"/>
    <xf numFmtId="0" fontId="14" fillId="2" borderId="58" applyNumberFormat="0" applyAlignment="0" applyProtection="0"/>
    <xf numFmtId="0" fontId="38" fillId="90" borderId="59" applyNumberFormat="0" applyAlignment="0" applyProtection="0"/>
    <xf numFmtId="0" fontId="39" fillId="90" borderId="59" applyNumberFormat="0" applyAlignment="0" applyProtection="0"/>
    <xf numFmtId="0" fontId="38" fillId="90" borderId="59" applyNumberFormat="0" applyAlignment="0" applyProtection="0"/>
    <xf numFmtId="9" fontId="14" fillId="0" borderId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60" applyNumberFormat="0" applyFill="0" applyAlignment="0" applyProtection="0"/>
    <xf numFmtId="0" fontId="6" fillId="0" borderId="60" applyNumberFormat="0" applyFill="0" applyAlignment="0" applyProtection="0"/>
    <xf numFmtId="0" fontId="4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3" fillId="0" borderId="0" applyNumberFormat="0" applyFill="0" applyBorder="0" applyAlignment="0" applyProtection="0"/>
  </cellStyleXfs>
  <cellXfs count="230">
    <xf numFmtId="0" fontId="0" fillId="0" borderId="0" xfId="0" applyFont="1" applyAlignment="1"/>
    <xf numFmtId="0" fontId="44" fillId="0" borderId="0" xfId="0" applyFont="1" applyAlignment="1"/>
    <xf numFmtId="0" fontId="44" fillId="0" borderId="0" xfId="0" applyFont="1" applyFill="1" applyBorder="1" applyAlignment="1"/>
    <xf numFmtId="0" fontId="44" fillId="0" borderId="0" xfId="0" applyFont="1" applyAlignment="1">
      <alignment wrapText="1"/>
    </xf>
    <xf numFmtId="1" fontId="44" fillId="0" borderId="0" xfId="0" applyNumberFormat="1" applyFont="1" applyAlignment="1"/>
    <xf numFmtId="198" fontId="44" fillId="0" borderId="0" xfId="0" applyNumberFormat="1" applyFont="1" applyAlignment="1"/>
    <xf numFmtId="0" fontId="44" fillId="0" borderId="0" xfId="0" applyFont="1" applyBorder="1" applyAlignment="1"/>
    <xf numFmtId="0" fontId="44" fillId="4" borderId="1" xfId="0" applyFont="1" applyFill="1" applyBorder="1" applyAlignment="1">
      <alignment horizontal="left" indent="1"/>
    </xf>
    <xf numFmtId="0" fontId="44" fillId="4" borderId="2" xfId="0" applyFont="1" applyFill="1" applyBorder="1" applyAlignment="1">
      <alignment horizontal="left" indent="1"/>
    </xf>
    <xf numFmtId="0" fontId="44" fillId="4" borderId="0" xfId="0" applyFont="1" applyFill="1" applyBorder="1" applyAlignment="1">
      <alignment horizontal="left" indent="1"/>
    </xf>
    <xf numFmtId="0" fontId="44" fillId="4" borderId="3" xfId="0" applyFont="1" applyFill="1" applyBorder="1" applyAlignment="1">
      <alignment horizontal="left" indent="1"/>
    </xf>
    <xf numFmtId="0" fontId="44" fillId="4" borderId="0" xfId="0" applyFont="1" applyFill="1" applyAlignment="1"/>
    <xf numFmtId="0" fontId="44" fillId="4" borderId="0" xfId="0" applyFont="1" applyFill="1" applyAlignment="1">
      <alignment horizontal="left"/>
    </xf>
    <xf numFmtId="0" fontId="45" fillId="4" borderId="0" xfId="0" applyFont="1" applyFill="1" applyAlignment="1"/>
    <xf numFmtId="0" fontId="44" fillId="4" borderId="5" xfId="0" applyFont="1" applyFill="1" applyBorder="1" applyAlignment="1">
      <alignment horizontal="left" indent="1"/>
    </xf>
    <xf numFmtId="1" fontId="44" fillId="4" borderId="5" xfId="0" applyNumberFormat="1" applyFont="1" applyFill="1" applyBorder="1" applyAlignment="1">
      <alignment horizontal="left" indent="1"/>
    </xf>
    <xf numFmtId="198" fontId="44" fillId="4" borderId="5" xfId="0" applyNumberFormat="1" applyFont="1" applyFill="1" applyBorder="1" applyAlignment="1">
      <alignment horizontal="left" indent="1"/>
    </xf>
    <xf numFmtId="0" fontId="44" fillId="61" borderId="5" xfId="0" applyFont="1" applyFill="1" applyBorder="1" applyAlignment="1">
      <alignment horizontal="left" vertical="center" wrapText="1" indent="1"/>
    </xf>
    <xf numFmtId="0" fontId="44" fillId="4" borderId="7" xfId="0" applyFont="1" applyFill="1" applyBorder="1" applyAlignment="1">
      <alignment horizontal="left" vertical="top" wrapText="1"/>
    </xf>
    <xf numFmtId="0" fontId="44" fillId="4" borderId="6" xfId="0" applyFont="1" applyFill="1" applyBorder="1" applyAlignment="1">
      <alignment horizontal="left" vertical="top" wrapText="1"/>
    </xf>
    <xf numFmtId="0" fontId="2" fillId="0" borderId="0" xfId="0" applyFont="1" applyAlignment="1"/>
    <xf numFmtId="2" fontId="44" fillId="0" borderId="0" xfId="0" applyNumberFormat="1" applyFont="1" applyAlignment="1"/>
    <xf numFmtId="2" fontId="44" fillId="0" borderId="0" xfId="0" applyNumberFormat="1" applyFont="1" applyFill="1" applyBorder="1" applyAlignment="1"/>
    <xf numFmtId="9" fontId="44" fillId="0" borderId="0" xfId="216" applyFont="1" applyFill="1" applyBorder="1" applyAlignment="1"/>
    <xf numFmtId="9" fontId="44" fillId="0" borderId="0" xfId="216" applyFont="1" applyAlignment="1"/>
    <xf numFmtId="2" fontId="2" fillId="0" borderId="0" xfId="0" applyNumberFormat="1" applyFont="1" applyAlignment="1"/>
    <xf numFmtId="0" fontId="44" fillId="0" borderId="0" xfId="0" applyNumberFormat="1" applyFont="1" applyFill="1" applyBorder="1" applyAlignment="1"/>
    <xf numFmtId="0" fontId="44" fillId="0" borderId="0" xfId="216" applyNumberFormat="1" applyFont="1" applyFill="1" applyBorder="1" applyAlignment="1"/>
    <xf numFmtId="0" fontId="44" fillId="0" borderId="0" xfId="0" applyNumberFormat="1" applyFont="1" applyBorder="1" applyAlignment="1"/>
    <xf numFmtId="0" fontId="44" fillId="0" borderId="0" xfId="0" applyNumberFormat="1" applyFont="1" applyAlignment="1"/>
    <xf numFmtId="10" fontId="44" fillId="0" borderId="0" xfId="0" applyNumberFormat="1" applyFont="1" applyAlignment="1"/>
    <xf numFmtId="49" fontId="44" fillId="0" borderId="0" xfId="216" applyNumberFormat="1" applyFont="1" applyFill="1" applyBorder="1" applyAlignment="1"/>
    <xf numFmtId="0" fontId="44" fillId="4" borderId="0" xfId="0" applyFont="1" applyFill="1" applyBorder="1" applyAlignment="1"/>
    <xf numFmtId="0" fontId="46" fillId="4" borderId="5" xfId="199" applyFont="1" applyFill="1" applyBorder="1" applyAlignment="1">
      <alignment horizontal="left" indent="1"/>
    </xf>
    <xf numFmtId="0" fontId="44" fillId="0" borderId="0" xfId="0" applyFont="1" applyAlignment="1">
      <alignment wrapText="1" shrinkToFit="1"/>
    </xf>
    <xf numFmtId="0" fontId="44" fillId="0" borderId="0" xfId="216" applyNumberFormat="1" applyFont="1" applyAlignment="1"/>
    <xf numFmtId="0" fontId="0" fillId="0" borderId="9" xfId="0" applyFont="1" applyBorder="1" applyAlignment="1"/>
    <xf numFmtId="0" fontId="44" fillId="0" borderId="0" xfId="0" applyFont="1" applyBorder="1" applyAlignment="1">
      <alignment horizontal="center"/>
    </xf>
    <xf numFmtId="2" fontId="44" fillId="0" borderId="0" xfId="0" applyNumberFormat="1" applyFont="1" applyBorder="1" applyAlignment="1">
      <alignment horizontal="center"/>
    </xf>
    <xf numFmtId="2" fontId="44" fillId="0" borderId="0" xfId="0" applyNumberFormat="1" applyFont="1" applyAlignment="1">
      <alignment horizontal="left" vertical="top" wrapText="1"/>
    </xf>
    <xf numFmtId="0" fontId="44" fillId="0" borderId="0" xfId="0" applyNumberFormat="1" applyFont="1" applyAlignment="1">
      <alignment vertical="center"/>
    </xf>
    <xf numFmtId="0" fontId="2" fillId="0" borderId="0" xfId="0" applyFont="1" applyAlignment="1">
      <alignment wrapText="1"/>
    </xf>
    <xf numFmtId="1" fontId="2" fillId="0" borderId="0" xfId="0" applyNumberFormat="1" applyFont="1" applyAlignment="1"/>
    <xf numFmtId="0" fontId="2" fillId="0" borderId="10" xfId="0" applyNumberFormat="1" applyFont="1" applyBorder="1" applyAlignment="1"/>
    <xf numFmtId="0" fontId="2" fillId="0" borderId="10" xfId="0" applyNumberFormat="1" applyFont="1" applyFill="1" applyBorder="1" applyAlignment="1"/>
    <xf numFmtId="10" fontId="2" fillId="0" borderId="10" xfId="0" applyNumberFormat="1" applyFont="1" applyFill="1" applyBorder="1" applyAlignment="1"/>
    <xf numFmtId="10" fontId="2" fillId="0" borderId="10" xfId="0" applyNumberFormat="1" applyFont="1" applyFill="1" applyBorder="1" applyAlignment="1">
      <alignment wrapText="1"/>
    </xf>
    <xf numFmtId="0" fontId="2" fillId="0" borderId="0" xfId="0" applyNumberFormat="1" applyFont="1" applyBorder="1" applyAlignment="1"/>
    <xf numFmtId="0" fontId="2" fillId="0" borderId="0" xfId="0" applyNumberFormat="1" applyFont="1" applyFill="1" applyBorder="1" applyAlignment="1"/>
    <xf numFmtId="10" fontId="2" fillId="0" borderId="0" xfId="0" applyNumberFormat="1" applyFont="1" applyFill="1" applyBorder="1" applyAlignment="1"/>
    <xf numFmtId="10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Alignment="1"/>
    <xf numFmtId="0" fontId="8" fillId="0" borderId="11" xfId="0" applyFont="1" applyFill="1" applyBorder="1" applyAlignment="1">
      <alignment horizontal="left"/>
    </xf>
    <xf numFmtId="0" fontId="44" fillId="0" borderId="0" xfId="0" applyNumberFormat="1" applyFont="1" applyFill="1" applyBorder="1" applyAlignment="1"/>
    <xf numFmtId="49" fontId="44" fillId="4" borderId="8" xfId="0" applyNumberFormat="1" applyFont="1" applyFill="1" applyBorder="1" applyAlignment="1">
      <alignment horizontal="left" indent="1"/>
    </xf>
    <xf numFmtId="0" fontId="44" fillId="0" borderId="13" xfId="0" applyFont="1" applyBorder="1" applyAlignment="1">
      <alignment horizontal="left" vertical="top" wrapText="1"/>
    </xf>
    <xf numFmtId="22" fontId="44" fillId="4" borderId="14" xfId="0" applyNumberFormat="1" applyFont="1" applyFill="1" applyBorder="1" applyAlignment="1">
      <alignment horizontal="left"/>
    </xf>
    <xf numFmtId="0" fontId="44" fillId="0" borderId="0" xfId="0" applyFont="1" applyBorder="1" applyAlignment="1">
      <alignment vertical="top" wrapText="1"/>
    </xf>
    <xf numFmtId="9" fontId="44" fillId="0" borderId="0" xfId="0" applyNumberFormat="1" applyFont="1" applyAlignment="1"/>
    <xf numFmtId="0" fontId="1" fillId="0" borderId="0" xfId="0" applyFont="1" applyAlignment="1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15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0" xfId="0" applyFont="1" applyAlignment="1"/>
    <xf numFmtId="0" fontId="0" fillId="0" borderId="20" xfId="0" applyFont="1" applyBorder="1" applyAlignment="1">
      <alignment horizontal="left"/>
    </xf>
    <xf numFmtId="9" fontId="14" fillId="0" borderId="21" xfId="216" applyFont="1" applyBorder="1" applyAlignment="1">
      <alignment horizontal="left"/>
    </xf>
    <xf numFmtId="0" fontId="2" fillId="62" borderId="5" xfId="0" applyFont="1" applyFill="1" applyBorder="1" applyAlignment="1">
      <alignment horizontal="left" vertical="center" wrapText="1"/>
    </xf>
    <xf numFmtId="1" fontId="2" fillId="4" borderId="1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8" xfId="0" applyFont="1" applyBorder="1" applyAlignment="1">
      <alignment horizontal="left"/>
    </xf>
    <xf numFmtId="0" fontId="0" fillId="0" borderId="23" xfId="0" applyFont="1" applyBorder="1" applyAlignment="1">
      <alignment horizontal="left"/>
    </xf>
    <xf numFmtId="0" fontId="0" fillId="0" borderId="24" xfId="0" applyFont="1" applyBorder="1" applyAlignment="1">
      <alignment horizontal="left"/>
    </xf>
    <xf numFmtId="0" fontId="0" fillId="0" borderId="21" xfId="0" applyFont="1" applyBorder="1" applyAlignment="1">
      <alignment horizontal="left"/>
    </xf>
    <xf numFmtId="0" fontId="0" fillId="0" borderId="25" xfId="0" applyFont="1" applyBorder="1" applyAlignment="1">
      <alignment horizontal="left"/>
    </xf>
    <xf numFmtId="9" fontId="14" fillId="0" borderId="0" xfId="216" applyFont="1" applyBorder="1" applyAlignment="1">
      <alignment horizontal="left"/>
    </xf>
    <xf numFmtId="0" fontId="0" fillId="0" borderId="26" xfId="0" applyFont="1" applyBorder="1" applyAlignment="1">
      <alignment horizontal="left"/>
    </xf>
    <xf numFmtId="9" fontId="14" fillId="0" borderId="28" xfId="216" applyFont="1" applyBorder="1" applyAlignment="1">
      <alignment horizontal="left"/>
    </xf>
    <xf numFmtId="9" fontId="44" fillId="0" borderId="0" xfId="216" applyNumberFormat="1" applyFont="1" applyFill="1" applyBorder="1" applyAlignment="1"/>
    <xf numFmtId="198" fontId="44" fillId="0" borderId="0" xfId="216" applyNumberFormat="1" applyFont="1" applyFill="1" applyBorder="1" applyAlignment="1"/>
    <xf numFmtId="1" fontId="44" fillId="0" borderId="0" xfId="216" applyNumberFormat="1" applyFont="1" applyFill="1" applyBorder="1" applyAlignment="1"/>
    <xf numFmtId="204" fontId="44" fillId="0" borderId="0" xfId="0" applyNumberFormat="1" applyFont="1" applyAlignment="1"/>
    <xf numFmtId="207" fontId="44" fillId="0" borderId="0" xfId="0" applyNumberFormat="1" applyFont="1" applyAlignment="1"/>
    <xf numFmtId="0" fontId="44" fillId="0" borderId="11" xfId="0" applyFont="1" applyFill="1" applyBorder="1" applyAlignment="1"/>
    <xf numFmtId="0" fontId="44" fillId="0" borderId="0" xfId="0" applyFont="1" applyAlignment="1">
      <alignment horizontal="left"/>
    </xf>
    <xf numFmtId="0" fontId="44" fillId="0" borderId="0" xfId="0" applyFont="1" applyFill="1" applyBorder="1" applyAlignment="1">
      <alignment horizontal="left"/>
    </xf>
    <xf numFmtId="0" fontId="45" fillId="21" borderId="31" xfId="0" applyFont="1" applyFill="1" applyBorder="1" applyAlignment="1"/>
    <xf numFmtId="0" fontId="44" fillId="0" borderId="3" xfId="0" applyFont="1" applyBorder="1" applyAlignment="1"/>
    <xf numFmtId="0" fontId="45" fillId="21" borderId="3" xfId="0" applyFont="1" applyFill="1" applyBorder="1" applyAlignment="1"/>
    <xf numFmtId="0" fontId="8" fillId="22" borderId="3" xfId="0" applyFont="1" applyFill="1" applyBorder="1" applyAlignment="1"/>
    <xf numFmtId="0" fontId="0" fillId="0" borderId="0" xfId="0" applyFont="1" applyAlignment="1"/>
    <xf numFmtId="0" fontId="0" fillId="0" borderId="0" xfId="0" applyFont="1" applyAlignment="1"/>
    <xf numFmtId="0" fontId="44" fillId="0" borderId="0" xfId="0" applyNumberFormat="1" applyFont="1" applyFill="1" applyBorder="1" applyAlignment="1"/>
    <xf numFmtId="0" fontId="44" fillId="0" borderId="0" xfId="0" applyFont="1" applyFill="1" applyBorder="1" applyAlignment="1">
      <alignment horizontal="left"/>
    </xf>
    <xf numFmtId="0" fontId="44" fillId="21" borderId="29" xfId="0" applyFont="1" applyFill="1" applyBorder="1" applyAlignment="1">
      <alignment vertical="center" wrapText="1"/>
    </xf>
    <xf numFmtId="204" fontId="44" fillId="21" borderId="29" xfId="0" applyNumberFormat="1" applyFont="1" applyFill="1" applyBorder="1" applyAlignment="1">
      <alignment vertical="center" wrapText="1"/>
    </xf>
    <xf numFmtId="0" fontId="44" fillId="21" borderId="29" xfId="0" applyFont="1" applyFill="1" applyBorder="1" applyAlignment="1">
      <alignment horizontal="left" vertical="center" wrapText="1"/>
    </xf>
    <xf numFmtId="0" fontId="44" fillId="21" borderId="29" xfId="0" applyFont="1" applyFill="1" applyBorder="1" applyAlignment="1">
      <alignment vertical="center" wrapText="1" shrinkToFit="1"/>
    </xf>
    <xf numFmtId="0" fontId="44" fillId="0" borderId="0" xfId="0" applyNumberFormat="1" applyFont="1" applyFill="1" applyBorder="1" applyAlignment="1">
      <alignment horizontal="left"/>
    </xf>
    <xf numFmtId="0" fontId="44" fillId="0" borderId="0" xfId="0" applyNumberFormat="1" applyFont="1" applyAlignment="1"/>
    <xf numFmtId="0" fontId="44" fillId="0" borderId="0" xfId="0" applyNumberFormat="1" applyFont="1" applyAlignment="1">
      <alignment horizontal="left"/>
    </xf>
    <xf numFmtId="2" fontId="44" fillId="0" borderId="0" xfId="0" applyNumberFormat="1" applyFont="1" applyFill="1" applyBorder="1" applyAlignment="1"/>
    <xf numFmtId="0" fontId="47" fillId="0" borderId="0" xfId="0" applyFont="1" applyAlignment="1"/>
    <xf numFmtId="0" fontId="47" fillId="0" borderId="0" xfId="0" applyFont="1" applyAlignment="1">
      <alignment wrapText="1"/>
    </xf>
    <xf numFmtId="0" fontId="45" fillId="62" borderId="12" xfId="0" applyFont="1" applyFill="1" applyBorder="1" applyAlignment="1">
      <alignment vertical="center" wrapText="1"/>
    </xf>
    <xf numFmtId="0" fontId="44" fillId="61" borderId="4" xfId="0" applyFont="1" applyFill="1" applyBorder="1" applyAlignment="1">
      <alignment horizontal="left" vertical="center" wrapText="1" indent="1"/>
    </xf>
    <xf numFmtId="0" fontId="44" fillId="61" borderId="1" xfId="0" applyFont="1" applyFill="1" applyBorder="1" applyAlignment="1">
      <alignment horizontal="left" vertical="center" wrapText="1" indent="1"/>
    </xf>
    <xf numFmtId="0" fontId="44" fillId="61" borderId="1" xfId="0" applyFont="1" applyFill="1" applyBorder="1" applyAlignment="1">
      <alignment vertical="center" wrapText="1"/>
    </xf>
    <xf numFmtId="0" fontId="44" fillId="61" borderId="4" xfId="0" applyFont="1" applyFill="1" applyBorder="1" applyAlignment="1">
      <alignment vertical="top" wrapText="1"/>
    </xf>
    <xf numFmtId="0" fontId="44" fillId="61" borderId="1" xfId="0" applyFont="1" applyFill="1" applyBorder="1" applyAlignment="1">
      <alignment horizontal="left" vertical="top" wrapText="1"/>
    </xf>
    <xf numFmtId="0" fontId="44" fillId="21" borderId="19" xfId="0" applyFont="1" applyFill="1" applyBorder="1" applyAlignment="1">
      <alignment vertical="center" wrapText="1"/>
    </xf>
    <xf numFmtId="0" fontId="44" fillId="21" borderId="16" xfId="0" applyFont="1" applyFill="1" applyBorder="1" applyAlignment="1">
      <alignment vertical="center" wrapText="1"/>
    </xf>
    <xf numFmtId="0" fontId="45" fillId="21" borderId="23" xfId="0" applyFont="1" applyFill="1" applyBorder="1" applyAlignment="1">
      <alignment vertical="center" wrapText="1"/>
    </xf>
    <xf numFmtId="0" fontId="44" fillId="21" borderId="17" xfId="0" applyFont="1" applyFill="1" applyBorder="1" applyAlignment="1">
      <alignment vertical="center" wrapText="1"/>
    </xf>
    <xf numFmtId="0" fontId="45" fillId="21" borderId="27" xfId="0" applyFont="1" applyFill="1" applyBorder="1" applyAlignment="1">
      <alignment vertical="center" wrapText="1"/>
    </xf>
    <xf numFmtId="0" fontId="2" fillId="62" borderId="43" xfId="0" applyFont="1" applyFill="1" applyBorder="1" applyAlignment="1">
      <alignment horizontal="left" vertical="center" wrapText="1"/>
    </xf>
    <xf numFmtId="0" fontId="45" fillId="22" borderId="3" xfId="0" applyFont="1" applyFill="1" applyBorder="1" applyAlignment="1">
      <alignment wrapText="1"/>
    </xf>
    <xf numFmtId="0" fontId="44" fillId="94" borderId="29" xfId="0" applyFont="1" applyFill="1" applyBorder="1" applyAlignment="1">
      <alignment vertical="center" wrapText="1"/>
    </xf>
    <xf numFmtId="204" fontId="44" fillId="94" borderId="29" xfId="0" applyNumberFormat="1" applyFont="1" applyFill="1" applyBorder="1" applyAlignment="1">
      <alignment vertical="center" wrapText="1"/>
    </xf>
    <xf numFmtId="0" fontId="44" fillId="94" borderId="29" xfId="0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horizontal="center"/>
    </xf>
    <xf numFmtId="0" fontId="44" fillId="94" borderId="29" xfId="0" applyFont="1" applyFill="1" applyBorder="1" applyAlignment="1">
      <alignment horizontal="left" vertical="top" wrapText="1"/>
    </xf>
    <xf numFmtId="0" fontId="44" fillId="94" borderId="29" xfId="0" applyFont="1" applyFill="1" applyBorder="1" applyAlignment="1">
      <alignment horizontal="left" vertical="center" wrapText="1"/>
    </xf>
    <xf numFmtId="0" fontId="44" fillId="94" borderId="29" xfId="209" applyFont="1" applyFill="1" applyBorder="1" applyAlignment="1">
      <alignment horizontal="left" vertical="center" wrapText="1"/>
    </xf>
    <xf numFmtId="0" fontId="44" fillId="94" borderId="29" xfId="0" applyFont="1" applyFill="1" applyBorder="1" applyAlignment="1">
      <alignment horizontal="left" vertical="center" wrapText="1" shrinkToFit="1"/>
    </xf>
    <xf numFmtId="0" fontId="45" fillId="21" borderId="30" xfId="0" applyFont="1" applyFill="1" applyBorder="1" applyAlignment="1">
      <alignment wrapText="1"/>
    </xf>
    <xf numFmtId="0" fontId="44" fillId="94" borderId="29" xfId="209" applyFont="1" applyFill="1" applyBorder="1" applyAlignment="1">
      <alignment vertical="center" wrapText="1"/>
    </xf>
    <xf numFmtId="0" fontId="44" fillId="94" borderId="29" xfId="0" applyFont="1" applyFill="1" applyBorder="1" applyAlignment="1">
      <alignment vertical="center" wrapText="1" shrinkToFit="1"/>
    </xf>
    <xf numFmtId="2" fontId="44" fillId="94" borderId="29" xfId="0" applyNumberFormat="1" applyFont="1" applyFill="1" applyBorder="1" applyAlignment="1">
      <alignment vertical="center" wrapText="1" shrinkToFit="1"/>
    </xf>
    <xf numFmtId="0" fontId="44" fillId="94" borderId="29" xfId="0" applyNumberFormat="1" applyFont="1" applyFill="1" applyBorder="1" applyAlignment="1">
      <alignment vertical="center" wrapText="1"/>
    </xf>
    <xf numFmtId="207" fontId="44" fillId="94" borderId="29" xfId="0" applyNumberFormat="1" applyFont="1" applyFill="1" applyBorder="1" applyAlignment="1">
      <alignment vertical="center" wrapText="1"/>
    </xf>
    <xf numFmtId="2" fontId="44" fillId="94" borderId="29" xfId="0" applyNumberFormat="1" applyFont="1" applyFill="1" applyBorder="1" applyAlignment="1">
      <alignment vertical="center" wrapText="1"/>
    </xf>
    <xf numFmtId="10" fontId="44" fillId="94" borderId="29" xfId="0" applyNumberFormat="1" applyFont="1" applyFill="1" applyBorder="1" applyAlignment="1">
      <alignment vertical="center" wrapText="1"/>
    </xf>
    <xf numFmtId="0" fontId="45" fillId="61" borderId="32" xfId="0" applyFont="1" applyFill="1" applyBorder="1" applyAlignment="1">
      <alignment horizontal="left" vertical="center" wrapText="1"/>
    </xf>
    <xf numFmtId="0" fontId="45" fillId="61" borderId="7" xfId="0" applyFont="1" applyFill="1" applyBorder="1" applyAlignment="1">
      <alignment horizontal="left" vertical="center"/>
    </xf>
    <xf numFmtId="0" fontId="45" fillId="61" borderId="30" xfId="0" applyFont="1" applyFill="1" applyBorder="1" applyAlignment="1">
      <alignment horizontal="left" vertical="center" wrapText="1"/>
    </xf>
    <xf numFmtId="0" fontId="45" fillId="61" borderId="33" xfId="0" applyFont="1" applyFill="1" applyBorder="1" applyAlignment="1">
      <alignment horizontal="left" vertical="center"/>
    </xf>
    <xf numFmtId="0" fontId="45" fillId="61" borderId="40" xfId="0" applyFont="1" applyFill="1" applyBorder="1" applyAlignment="1">
      <alignment horizontal="left" vertical="center" wrapText="1"/>
    </xf>
    <xf numFmtId="0" fontId="45" fillId="61" borderId="0" xfId="0" applyFont="1" applyFill="1" applyBorder="1" applyAlignment="1">
      <alignment horizontal="left" vertical="center"/>
    </xf>
    <xf numFmtId="0" fontId="45" fillId="61" borderId="12" xfId="0" applyFont="1" applyFill="1" applyBorder="1" applyAlignment="1">
      <alignment horizontal="center" vertical="center" wrapText="1"/>
    </xf>
    <xf numFmtId="0" fontId="45" fillId="61" borderId="2" xfId="0" applyFont="1" applyFill="1" applyBorder="1" applyAlignment="1">
      <alignment horizontal="center" vertical="center"/>
    </xf>
    <xf numFmtId="0" fontId="45" fillId="61" borderId="14" xfId="0" applyFont="1" applyFill="1" applyBorder="1" applyAlignment="1">
      <alignment horizontal="center" vertical="center"/>
    </xf>
    <xf numFmtId="0" fontId="45" fillId="61" borderId="32" xfId="0" applyFont="1" applyFill="1" applyBorder="1" applyAlignment="1">
      <alignment horizontal="left" wrapText="1"/>
    </xf>
    <xf numFmtId="0" fontId="45" fillId="61" borderId="35" xfId="0" applyFont="1" applyFill="1" applyBorder="1" applyAlignment="1">
      <alignment horizontal="left"/>
    </xf>
    <xf numFmtId="0" fontId="45" fillId="61" borderId="12" xfId="0" applyFont="1" applyFill="1" applyBorder="1" applyAlignment="1">
      <alignment horizontal="left" vertical="center" wrapText="1"/>
    </xf>
    <xf numFmtId="0" fontId="45" fillId="61" borderId="14" xfId="0" applyFont="1" applyFill="1" applyBorder="1" applyAlignment="1">
      <alignment horizontal="left" vertical="center"/>
    </xf>
    <xf numFmtId="0" fontId="45" fillId="23" borderId="41" xfId="0" applyFont="1" applyFill="1" applyBorder="1" applyAlignment="1">
      <alignment horizontal="center" wrapText="1"/>
    </xf>
    <xf numFmtId="0" fontId="8" fillId="23" borderId="37" xfId="0" applyFont="1" applyFill="1" applyBorder="1" applyAlignment="1">
      <alignment horizontal="center"/>
    </xf>
    <xf numFmtId="0" fontId="45" fillId="23" borderId="42" xfId="0" applyFont="1" applyFill="1" applyBorder="1" applyAlignment="1">
      <alignment horizontal="center" wrapText="1"/>
    </xf>
    <xf numFmtId="0" fontId="45" fillId="22" borderId="2" xfId="0" applyFont="1" applyFill="1" applyBorder="1" applyAlignment="1">
      <alignment wrapText="1"/>
    </xf>
    <xf numFmtId="0" fontId="8" fillId="22" borderId="2" xfId="0" applyFont="1" applyFill="1" applyBorder="1" applyAlignment="1"/>
    <xf numFmtId="0" fontId="8" fillId="22" borderId="14" xfId="0" applyFont="1" applyFill="1" applyBorder="1" applyAlignment="1"/>
    <xf numFmtId="0" fontId="45" fillId="22" borderId="3" xfId="0" applyFont="1" applyFill="1" applyBorder="1" applyAlignment="1">
      <alignment horizontal="left" wrapText="1"/>
    </xf>
    <xf numFmtId="0" fontId="8" fillId="22" borderId="3" xfId="0" applyFont="1" applyFill="1" applyBorder="1" applyAlignment="1">
      <alignment horizontal="left"/>
    </xf>
    <xf numFmtId="0" fontId="8" fillId="22" borderId="3" xfId="0" applyFont="1" applyFill="1" applyBorder="1" applyAlignment="1">
      <alignment horizontal="center"/>
    </xf>
    <xf numFmtId="0" fontId="44" fillId="22" borderId="38" xfId="0" applyFont="1" applyFill="1" applyBorder="1" applyAlignment="1">
      <alignment horizontal="left" wrapText="1"/>
    </xf>
    <xf numFmtId="0" fontId="2" fillId="22" borderId="39" xfId="0" applyFont="1" applyFill="1" applyBorder="1" applyAlignment="1">
      <alignment horizontal="left"/>
    </xf>
    <xf numFmtId="0" fontId="44" fillId="0" borderId="38" xfId="0" applyFont="1" applyBorder="1" applyAlignment="1">
      <alignment horizontal="center"/>
    </xf>
    <xf numFmtId="0" fontId="44" fillId="0" borderId="39" xfId="0" applyFont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45" fillId="0" borderId="39" xfId="0" applyFont="1" applyBorder="1" applyAlignment="1">
      <alignment horizontal="left" wrapText="1"/>
    </xf>
    <xf numFmtId="0" fontId="9" fillId="0" borderId="0" xfId="0" applyFont="1" applyBorder="1" applyAlignment="1">
      <alignment horizontal="left"/>
    </xf>
    <xf numFmtId="0" fontId="44" fillId="22" borderId="5" xfId="0" applyFont="1" applyFill="1" applyBorder="1" applyAlignment="1">
      <alignment horizontal="left" vertical="top" wrapText="1"/>
    </xf>
    <xf numFmtId="0" fontId="2" fillId="22" borderId="5" xfId="0" applyFont="1" applyFill="1" applyBorder="1" applyAlignment="1">
      <alignment horizontal="left" vertical="top"/>
    </xf>
    <xf numFmtId="0" fontId="44" fillId="0" borderId="5" xfId="0" applyFont="1" applyBorder="1" applyAlignment="1">
      <alignment horizontal="left" vertical="top" wrapText="1"/>
    </xf>
    <xf numFmtId="2" fontId="44" fillId="0" borderId="5" xfId="0" applyNumberFormat="1" applyFont="1" applyBorder="1" applyAlignment="1">
      <alignment horizontal="left" vertical="top" wrapText="1"/>
    </xf>
    <xf numFmtId="0" fontId="45" fillId="0" borderId="11" xfId="0" applyFont="1" applyBorder="1" applyAlignment="1">
      <alignment horizontal="left" wrapText="1"/>
    </xf>
    <xf numFmtId="0" fontId="9" fillId="0" borderId="11" xfId="0" applyFont="1" applyBorder="1" applyAlignment="1">
      <alignment horizontal="left"/>
    </xf>
    <xf numFmtId="0" fontId="44" fillId="22" borderId="38" xfId="0" applyFont="1" applyFill="1" applyBorder="1" applyAlignment="1">
      <alignment horizontal="left" vertical="top" wrapText="1"/>
    </xf>
    <xf numFmtId="0" fontId="10" fillId="22" borderId="22" xfId="0" applyFont="1" applyFill="1" applyBorder="1" applyAlignment="1">
      <alignment horizontal="left" vertical="top"/>
    </xf>
    <xf numFmtId="0" fontId="10" fillId="22" borderId="22" xfId="0" applyFont="1" applyFill="1" applyBorder="1" applyAlignment="1">
      <alignment horizontal="left"/>
    </xf>
    <xf numFmtId="2" fontId="44" fillId="0" borderId="38" xfId="0" applyNumberFormat="1" applyFont="1" applyBorder="1" applyAlignment="1">
      <alignment horizontal="left" vertical="top" wrapText="1"/>
    </xf>
    <xf numFmtId="2" fontId="44" fillId="0" borderId="39" xfId="0" applyNumberFormat="1" applyFont="1" applyBorder="1" applyAlignment="1">
      <alignment horizontal="left" vertical="top" wrapText="1"/>
    </xf>
    <xf numFmtId="2" fontId="44" fillId="0" borderId="22" xfId="0" applyNumberFormat="1" applyFont="1" applyBorder="1" applyAlignment="1">
      <alignment horizontal="left" vertical="top" wrapText="1"/>
    </xf>
    <xf numFmtId="0" fontId="10" fillId="22" borderId="22" xfId="0" applyFont="1" applyFill="1" applyBorder="1" applyAlignment="1">
      <alignment horizontal="left" vertical="top" wrapText="1"/>
    </xf>
    <xf numFmtId="0" fontId="2" fillId="22" borderId="22" xfId="0" applyFont="1" applyFill="1" applyBorder="1" applyAlignment="1">
      <alignment horizontal="left"/>
    </xf>
    <xf numFmtId="0" fontId="45" fillId="21" borderId="40" xfId="0" applyFont="1" applyFill="1" applyBorder="1" applyAlignment="1">
      <alignment horizontal="left" wrapText="1"/>
    </xf>
    <xf numFmtId="0" fontId="45" fillId="21" borderId="3" xfId="0" applyFont="1" applyFill="1" applyBorder="1" applyAlignment="1">
      <alignment horizontal="left"/>
    </xf>
    <xf numFmtId="0" fontId="2" fillId="22" borderId="36" xfId="0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2" fillId="22" borderId="13" xfId="0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horizontal="left" vertical="top" wrapText="1"/>
    </xf>
    <xf numFmtId="0" fontId="45" fillId="21" borderId="40" xfId="0" applyFont="1" applyFill="1" applyBorder="1" applyAlignment="1">
      <alignment horizontal="center"/>
    </xf>
    <xf numFmtId="0" fontId="45" fillId="21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44" fillId="23" borderId="38" xfId="0" applyFont="1" applyFill="1" applyBorder="1" applyAlignment="1">
      <alignment horizontal="left" vertical="top" wrapText="1"/>
    </xf>
    <xf numFmtId="0" fontId="10" fillId="23" borderId="22" xfId="0" applyFont="1" applyFill="1" applyBorder="1" applyAlignment="1">
      <alignment horizontal="left" vertical="top"/>
    </xf>
    <xf numFmtId="0" fontId="45" fillId="21" borderId="30" xfId="0" applyFont="1" applyFill="1" applyBorder="1" applyAlignment="1">
      <alignment wrapText="1"/>
    </xf>
    <xf numFmtId="0" fontId="45" fillId="21" borderId="31" xfId="0" applyFont="1" applyFill="1" applyBorder="1" applyAlignment="1"/>
    <xf numFmtId="0" fontId="45" fillId="0" borderId="11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/>
    </xf>
    <xf numFmtId="0" fontId="44" fillId="23" borderId="38" xfId="0" applyFont="1" applyFill="1" applyBorder="1" applyAlignment="1">
      <alignment horizontal="left" wrapText="1"/>
    </xf>
    <xf numFmtId="0" fontId="10" fillId="23" borderId="22" xfId="0" applyFont="1" applyFill="1" applyBorder="1" applyAlignment="1">
      <alignment horizontal="left"/>
    </xf>
    <xf numFmtId="0" fontId="45" fillId="22" borderId="30" xfId="0" applyFont="1" applyFill="1" applyBorder="1" applyAlignment="1">
      <alignment horizontal="left" wrapText="1"/>
    </xf>
    <xf numFmtId="0" fontId="8" fillId="22" borderId="31" xfId="0" applyFont="1" applyFill="1" applyBorder="1" applyAlignment="1">
      <alignment horizontal="left"/>
    </xf>
    <xf numFmtId="0" fontId="8" fillId="22" borderId="33" xfId="0" applyFont="1" applyFill="1" applyBorder="1" applyAlignment="1">
      <alignment horizontal="left"/>
    </xf>
    <xf numFmtId="0" fontId="45" fillId="21" borderId="40" xfId="0" applyFont="1" applyFill="1" applyBorder="1" applyAlignment="1">
      <alignment horizontal="left"/>
    </xf>
    <xf numFmtId="0" fontId="10" fillId="4" borderId="38" xfId="0" applyFont="1" applyFill="1" applyBorder="1" applyAlignment="1">
      <alignment horizontal="left"/>
    </xf>
    <xf numFmtId="0" fontId="10" fillId="4" borderId="39" xfId="0" applyFont="1" applyFill="1" applyBorder="1" applyAlignment="1">
      <alignment horizontal="left"/>
    </xf>
    <xf numFmtId="0" fontId="10" fillId="4" borderId="22" xfId="0" applyFont="1" applyFill="1" applyBorder="1" applyAlignment="1">
      <alignment horizontal="left"/>
    </xf>
    <xf numFmtId="0" fontId="10" fillId="4" borderId="38" xfId="0" applyFont="1" applyFill="1" applyBorder="1" applyAlignment="1">
      <alignment horizontal="left" vertical="top"/>
    </xf>
    <xf numFmtId="0" fontId="10" fillId="4" borderId="39" xfId="0" applyFont="1" applyFill="1" applyBorder="1" applyAlignment="1">
      <alignment horizontal="left" vertical="top"/>
    </xf>
    <xf numFmtId="0" fontId="10" fillId="4" borderId="22" xfId="0" applyFont="1" applyFill="1" applyBorder="1" applyAlignment="1">
      <alignment horizontal="left" vertical="top"/>
    </xf>
    <xf numFmtId="0" fontId="44" fillId="21" borderId="38" xfId="0" applyFont="1" applyFill="1" applyBorder="1" applyAlignment="1">
      <alignment horizontal="center"/>
    </xf>
    <xf numFmtId="0" fontId="44" fillId="21" borderId="39" xfId="0" applyFont="1" applyFill="1" applyBorder="1" applyAlignment="1">
      <alignment horizontal="center"/>
    </xf>
    <xf numFmtId="0" fontId="44" fillId="21" borderId="22" xfId="0" applyFont="1" applyFill="1" applyBorder="1" applyAlignment="1">
      <alignment horizontal="center"/>
    </xf>
    <xf numFmtId="0" fontId="10" fillId="22" borderId="39" xfId="0" applyFont="1" applyFill="1" applyBorder="1" applyAlignment="1">
      <alignment horizontal="left"/>
    </xf>
    <xf numFmtId="0" fontId="10" fillId="22" borderId="39" xfId="0" applyFont="1" applyFill="1" applyBorder="1" applyAlignment="1">
      <alignment horizontal="left" vertical="top"/>
    </xf>
    <xf numFmtId="0" fontId="44" fillId="21" borderId="38" xfId="0" applyFont="1" applyFill="1" applyBorder="1" applyAlignment="1">
      <alignment horizontal="center" wrapText="1"/>
    </xf>
    <xf numFmtId="0" fontId="10" fillId="0" borderId="38" xfId="0" quotePrefix="1" applyFont="1" applyFill="1" applyBorder="1" applyAlignment="1">
      <alignment horizontal="left" vertical="top" wrapText="1"/>
    </xf>
    <xf numFmtId="0" fontId="10" fillId="0" borderId="39" xfId="0" quotePrefix="1" applyFont="1" applyFill="1" applyBorder="1" applyAlignment="1">
      <alignment horizontal="left" vertical="top" wrapText="1"/>
    </xf>
    <xf numFmtId="0" fontId="10" fillId="0" borderId="22" xfId="0" quotePrefix="1" applyFont="1" applyFill="1" applyBorder="1" applyAlignment="1">
      <alignment horizontal="left" vertical="top" wrapText="1"/>
    </xf>
    <xf numFmtId="0" fontId="2" fillId="0" borderId="38" xfId="0" applyFont="1" applyFill="1" applyBorder="1" applyAlignment="1">
      <alignment horizontal="left" vertical="top" wrapText="1"/>
    </xf>
    <xf numFmtId="0" fontId="2" fillId="0" borderId="39" xfId="0" applyFont="1" applyFill="1" applyBorder="1" applyAlignment="1">
      <alignment horizontal="left" vertical="top" wrapText="1"/>
    </xf>
    <xf numFmtId="0" fontId="2" fillId="0" borderId="22" xfId="0" applyFont="1" applyFill="1" applyBorder="1" applyAlignment="1">
      <alignment horizontal="left" vertical="top" wrapText="1"/>
    </xf>
    <xf numFmtId="0" fontId="10" fillId="22" borderId="22" xfId="0" applyFont="1" applyFill="1" applyBorder="1" applyAlignment="1">
      <alignment horizontal="left" wrapText="1"/>
    </xf>
    <xf numFmtId="0" fontId="45" fillId="21" borderId="38" xfId="0" applyFont="1" applyFill="1" applyBorder="1" applyAlignment="1">
      <alignment horizontal="left" wrapText="1"/>
    </xf>
    <xf numFmtId="0" fontId="45" fillId="21" borderId="39" xfId="0" applyFont="1" applyFill="1" applyBorder="1" applyAlignment="1">
      <alignment horizontal="left"/>
    </xf>
    <xf numFmtId="0" fontId="45" fillId="21" borderId="38" xfId="0" applyFont="1" applyFill="1" applyBorder="1" applyAlignment="1">
      <alignment horizontal="left"/>
    </xf>
    <xf numFmtId="0" fontId="45" fillId="21" borderId="39" xfId="0" applyFont="1" applyFill="1" applyBorder="1" applyAlignment="1">
      <alignment horizontal="left" wrapText="1"/>
    </xf>
    <xf numFmtId="0" fontId="45" fillId="21" borderId="34" xfId="0" applyFont="1" applyFill="1" applyBorder="1" applyAlignment="1">
      <alignment horizontal="left" wrapText="1"/>
    </xf>
    <xf numFmtId="0" fontId="45" fillId="21" borderId="0" xfId="0" applyFont="1" applyFill="1" applyBorder="1" applyAlignment="1">
      <alignment horizontal="left"/>
    </xf>
    <xf numFmtId="0" fontId="44" fillId="21" borderId="5" xfId="0" applyFont="1" applyFill="1" applyBorder="1" applyAlignment="1">
      <alignment horizontal="center" wrapText="1"/>
    </xf>
    <xf numFmtId="0" fontId="44" fillId="21" borderId="5" xfId="0" applyFont="1" applyFill="1" applyBorder="1" applyAlignment="1">
      <alignment horizontal="center"/>
    </xf>
    <xf numFmtId="177" fontId="45" fillId="21" borderId="34" xfId="172" applyFont="1" applyFill="1" applyBorder="1" applyAlignment="1">
      <alignment horizontal="left" wrapText="1"/>
    </xf>
    <xf numFmtId="177" fontId="45" fillId="21" borderId="0" xfId="172" applyFont="1" applyFill="1" applyBorder="1" applyAlignment="1">
      <alignment horizontal="left"/>
    </xf>
    <xf numFmtId="0" fontId="44" fillId="0" borderId="38" xfId="0" applyFont="1" applyBorder="1" applyAlignment="1">
      <alignment horizontal="left" vertical="top" wrapText="1"/>
    </xf>
    <xf numFmtId="0" fontId="44" fillId="0" borderId="22" xfId="0" applyFont="1" applyBorder="1" applyAlignment="1">
      <alignment horizontal="left" vertical="top" wrapText="1"/>
    </xf>
  </cellXfs>
  <cellStyles count="226">
    <cellStyle name="20% - Accent1" xfId="1" builtinId="30" customBuiltin="1"/>
    <cellStyle name="20% - Accent1 2" xfId="2" xr:uid="{A0D27C6C-0A69-48F9-853F-27FF81AA4EF6}"/>
    <cellStyle name="20% - Accent1 2 2" xfId="3" xr:uid="{25179EC2-81CE-4E2F-8666-D3D566A38C3F}"/>
    <cellStyle name="20% - Accent1 2 2 2" xfId="4" xr:uid="{C0B54E20-4221-43EA-A7DC-33EECD288FE8}"/>
    <cellStyle name="20% - Accent1 2 2 2 2" xfId="5" xr:uid="{7E87CCCE-BC12-4496-8CC8-F269FE4C62CD}"/>
    <cellStyle name="20% - Accent1 3" xfId="6" xr:uid="{44171A57-8C0E-45B5-A286-5B7F31F7343D}"/>
    <cellStyle name="20% - Accent1 3 2" xfId="7" xr:uid="{139725B4-A412-4606-A762-94F58D0EE22D}"/>
    <cellStyle name="20% - Accent1 3 2 2" xfId="8" xr:uid="{32513B6F-2D9C-4AEE-BADD-7B07F1306543}"/>
    <cellStyle name="20% - Accent1 3 2 2 2" xfId="9" xr:uid="{48B9ABBD-4133-4F0F-A142-C397914A3F42}"/>
    <cellStyle name="20% - Accent2" xfId="10" builtinId="34" customBuiltin="1"/>
    <cellStyle name="20% - Accent2 2" xfId="11" xr:uid="{291ACDDA-3DD6-4FC7-BEF7-95479B363037}"/>
    <cellStyle name="20% - Accent2 2 2" xfId="12" xr:uid="{98D7CE47-9945-40F6-993F-2C2A3255D3E7}"/>
    <cellStyle name="20% - Accent2 2 2 2" xfId="13" xr:uid="{1EF99B59-7E56-4466-A271-9AC081D60826}"/>
    <cellStyle name="20% - Accent2 2 2 2 2" xfId="14" xr:uid="{BF35C641-4289-4C70-8069-79486732B975}"/>
    <cellStyle name="20% - Accent2 3" xfId="15" xr:uid="{46905867-8899-42AF-8CA4-ABF1F9277699}"/>
    <cellStyle name="20% - Accent2 3 2" xfId="16" xr:uid="{974F3F00-8117-4C4B-A092-A5505360582E}"/>
    <cellStyle name="20% - Accent2 3 2 2" xfId="17" xr:uid="{5AE5AA90-3F87-4C79-9647-BD3F96613213}"/>
    <cellStyle name="20% - Accent2 3 2 2 2" xfId="18" xr:uid="{AF087262-BB7B-4307-B1C7-D56FEF3BF281}"/>
    <cellStyle name="20% - Accent3" xfId="19" builtinId="38" customBuiltin="1"/>
    <cellStyle name="20% - Accent3 2" xfId="20" xr:uid="{5BD44691-0E7B-4AE3-8986-1C6D2EB258BD}"/>
    <cellStyle name="20% - Accent3 2 2" xfId="21" xr:uid="{3CB76569-98AA-4C4C-8F5A-D29D090211F0}"/>
    <cellStyle name="20% - Accent3 2 2 2" xfId="22" xr:uid="{B1F43AA8-3C93-4901-8921-E276415F1D06}"/>
    <cellStyle name="20% - Accent3 2 2 2 2" xfId="23" xr:uid="{BC7EF23D-85BB-4EE0-91BA-A700555BF774}"/>
    <cellStyle name="20% - Accent3 3" xfId="24" xr:uid="{9DAC4F26-54A0-40CE-BBF3-30235C86D45E}"/>
    <cellStyle name="20% - Accent3 3 2" xfId="25" xr:uid="{7365E69E-4EBA-452E-A66B-2B1A4B33F462}"/>
    <cellStyle name="20% - Accent3 3 2 2" xfId="26" xr:uid="{AA324B84-A64B-41A3-833B-F6DCCE65C912}"/>
    <cellStyle name="20% - Accent3 3 2 2 2" xfId="27" xr:uid="{82ECDE13-133B-469E-B3CD-A8A06A257A6C}"/>
    <cellStyle name="20% - Accent4" xfId="28" builtinId="42" customBuiltin="1"/>
    <cellStyle name="20% - Accent4 2" xfId="29" xr:uid="{993FABC2-D7DB-4679-BACB-817C3F78431E}"/>
    <cellStyle name="20% - Accent4 2 2" xfId="30" xr:uid="{D6635610-D6C3-49B4-A7DC-3210A152F651}"/>
    <cellStyle name="20% - Accent4 2 2 2" xfId="31" xr:uid="{39F1C446-2C81-4FB8-B730-E215D0C72C15}"/>
    <cellStyle name="20% - Accent4 2 2 2 2" xfId="32" xr:uid="{ED3B7F4C-ABDA-4095-B1EE-93483C261CD1}"/>
    <cellStyle name="20% - Accent4 3" xfId="33" xr:uid="{1C6C3033-37FC-4444-AE92-8F7C5C318005}"/>
    <cellStyle name="20% - Accent4 3 2" xfId="34" xr:uid="{0268F989-5CD9-47DA-A931-15CB2C2FB810}"/>
    <cellStyle name="20% - Accent4 3 2 2" xfId="35" xr:uid="{07CAB98E-26EB-4227-832B-394CB61733D8}"/>
    <cellStyle name="20% - Accent4 3 2 2 2" xfId="36" xr:uid="{FE4DB152-75B9-4808-A42A-B4D5A4EF64D4}"/>
    <cellStyle name="20% - Accent5" xfId="37" builtinId="46" customBuiltin="1"/>
    <cellStyle name="20% - Accent5 2" xfId="38" xr:uid="{4F3AF0F5-E63F-4217-BB7A-1934D74D68A5}"/>
    <cellStyle name="20% - Accent5 2 2" xfId="39" xr:uid="{C2E59B10-DF18-4F52-8488-F23CF8FDB142}"/>
    <cellStyle name="20% - Accent5 2 2 2" xfId="40" xr:uid="{0BD4F245-2A0C-4177-AACF-8FF480FFE421}"/>
    <cellStyle name="20% - Accent5 2 2 2 2" xfId="41" xr:uid="{43055CE3-61E0-4559-AC20-4DFCD164D9BC}"/>
    <cellStyle name="20% - Accent5 3" xfId="42" xr:uid="{51B0FDDC-81D8-4995-9015-B6323C80AE9D}"/>
    <cellStyle name="20% - Accent5 3 2" xfId="43" xr:uid="{A90523B5-7D08-4B57-BD91-35677AE04729}"/>
    <cellStyle name="20% - Accent5 3 2 2" xfId="44" xr:uid="{88EA8E98-FCD0-40E1-A5D6-0D80A2DE3957}"/>
    <cellStyle name="20% - Accent5 3 2 2 2" xfId="45" xr:uid="{784EFA9A-ABFD-4C8C-A988-A0E56CF22ED5}"/>
    <cellStyle name="20% - Accent6" xfId="46" builtinId="50" customBuiltin="1"/>
    <cellStyle name="20% - Accent6 2" xfId="47" xr:uid="{A53F22B9-CEF6-4EA6-97CA-0142F79D6963}"/>
    <cellStyle name="20% - Accent6 2 2" xfId="48" xr:uid="{FC47818A-1666-4B2D-9C83-0964AB985D1E}"/>
    <cellStyle name="20% - Accent6 2 2 2" xfId="49" xr:uid="{772C4521-8B13-4CC4-B1E8-E0CF35F998ED}"/>
    <cellStyle name="20% - Accent6 2 2 2 2" xfId="50" xr:uid="{EC4C17F6-0248-4F81-BF52-A6B388B048FB}"/>
    <cellStyle name="20% - Accent6 3" xfId="51" xr:uid="{CADE5B00-8032-4186-99E6-856338D61C37}"/>
    <cellStyle name="20% - Accent6 3 2" xfId="52" xr:uid="{905DFA92-7C67-4717-BA0E-3FDAC1851A36}"/>
    <cellStyle name="20% - Accent6 3 2 2" xfId="53" xr:uid="{9800C959-A9AA-4C0B-8A43-861F303EF335}"/>
    <cellStyle name="20% - Accent6 3 2 2 2" xfId="54" xr:uid="{AEA324FA-058B-4074-B2FE-3B98BA7C2D8B}"/>
    <cellStyle name="40% - Accent1" xfId="55" builtinId="31" customBuiltin="1"/>
    <cellStyle name="40% - Accent1 2" xfId="56" xr:uid="{AE3E41B2-892F-4A6B-98BF-8EB00ED69CD7}"/>
    <cellStyle name="40% - Accent1 2 2" xfId="57" xr:uid="{81981100-76E0-4856-9EA1-E926D5DB7C7B}"/>
    <cellStyle name="40% - Accent1 2 2 2" xfId="58" xr:uid="{AD369854-3A37-41BA-92DC-253D5225918F}"/>
    <cellStyle name="40% - Accent1 2 2 2 2" xfId="59" xr:uid="{3CF53D75-C679-4D05-800C-1E25C9D19216}"/>
    <cellStyle name="40% - Accent1 2 2 2 2 2" xfId="60" xr:uid="{A999091B-E981-4371-8C23-077B02C00C56}"/>
    <cellStyle name="40% - Accent1 2 2 2 2 2 2" xfId="61" xr:uid="{92D75156-E69E-4112-8BDE-C5CBCBF0F2A5}"/>
    <cellStyle name="40% - Accent1 2 2 2 2 2 2 2" xfId="62" xr:uid="{2792D328-096F-415C-85C0-287CDCA2F42B}"/>
    <cellStyle name="40% - Accent1 3" xfId="63" xr:uid="{DF1F4534-23B8-488B-8C0D-17987E1D56CF}"/>
    <cellStyle name="40% - Accent1 3 2" xfId="64" xr:uid="{0F166297-280E-4818-A639-123F94980151}"/>
    <cellStyle name="40% - Accent1 3 2 2" xfId="65" xr:uid="{1A665C4F-B4B6-4B20-8E8D-1AFD89CFD9E8}"/>
    <cellStyle name="40% - Accent1 3 2 2 2" xfId="66" xr:uid="{C8908F41-8EC2-4722-A6BB-C55DB0E8A459}"/>
    <cellStyle name="40% - Accent2" xfId="67" builtinId="35" customBuiltin="1"/>
    <cellStyle name="40% - Accent2 2" xfId="68" xr:uid="{90C68AF1-03A0-46C0-93BE-BE43326A1E8D}"/>
    <cellStyle name="40% - Accent2 2 2" xfId="69" xr:uid="{5CED1DBA-DBF9-403E-916E-EC03B2BA46EE}"/>
    <cellStyle name="40% - Accent2 2 2 2" xfId="70" xr:uid="{B0B10A8D-8129-4DE8-8B0A-C84DD6214279}"/>
    <cellStyle name="40% - Accent2 2 2 2 2" xfId="71" xr:uid="{BB63656D-8692-4AE9-B0A4-4BCD3978C3E1}"/>
    <cellStyle name="40% - Accent2 2 2 2 2 2" xfId="72" xr:uid="{B857DB37-1C44-493C-8CD5-8CFFF2EB4483}"/>
    <cellStyle name="40% - Accent2 2 2 2 2 2 2" xfId="73" xr:uid="{6D75ADC8-0915-48E5-AF9C-C971343B4462}"/>
    <cellStyle name="40% - Accent2 2 2 2 2 2 2 2" xfId="74" xr:uid="{39266F05-3871-4194-B195-F2A2A344B989}"/>
    <cellStyle name="40% - Accent2 3" xfId="75" xr:uid="{8288E31A-43B6-412D-9365-374AF673072E}"/>
    <cellStyle name="40% - Accent2 3 2" xfId="76" xr:uid="{9E385496-0B98-455A-A648-330F7A77D4D4}"/>
    <cellStyle name="40% - Accent2 3 2 2" xfId="77" xr:uid="{AC38486C-0057-4527-8EE4-944C1600AA2D}"/>
    <cellStyle name="40% - Accent2 3 2 2 2" xfId="78" xr:uid="{90ECB464-7C6D-49E2-A08C-C3AF92ADB58F}"/>
    <cellStyle name="40% - Accent3" xfId="79" builtinId="39" customBuiltin="1"/>
    <cellStyle name="40% - Accent3 2" xfId="80" xr:uid="{78164EF1-7464-4A1C-81EA-77B09A090F3F}"/>
    <cellStyle name="40% - Accent3 2 2" xfId="81" xr:uid="{CE326BE3-5B2F-405E-8595-4094D29A34D9}"/>
    <cellStyle name="40% - Accent3 2 2 2" xfId="82" xr:uid="{D5B3A8F9-F174-4370-82A4-D67F25FCA1CD}"/>
    <cellStyle name="40% - Accent3 2 2 2 2" xfId="83" xr:uid="{57462578-2950-49AB-A12E-37C9BA505CEB}"/>
    <cellStyle name="40% - Accent3 2 2 2 2 2" xfId="84" xr:uid="{BDD55047-025E-4F49-947C-B72D10884539}"/>
    <cellStyle name="40% - Accent3 2 2 2 2 2 2" xfId="85" xr:uid="{C9F856A6-F5F0-4AD9-A3A5-6844BA8C816D}"/>
    <cellStyle name="40% - Accent3 2 2 2 2 2 2 2" xfId="86" xr:uid="{649E594D-955E-47DD-AE05-41818E48D105}"/>
    <cellStyle name="40% - Accent3 3" xfId="87" xr:uid="{ADB208AD-D0CD-4259-A15D-E8CD40A72210}"/>
    <cellStyle name="40% - Accent3 3 2" xfId="88" xr:uid="{CA682BED-9732-48E0-B776-A51FA1121CE6}"/>
    <cellStyle name="40% - Accent3 3 2 2" xfId="89" xr:uid="{7D7EEA00-8D2F-4DA4-AE33-75A93928ED20}"/>
    <cellStyle name="40% - Accent3 3 2 2 2" xfId="90" xr:uid="{054D4C04-4413-4F1C-B526-36EBC0F8CC5B}"/>
    <cellStyle name="40% - Accent4" xfId="91" builtinId="43" customBuiltin="1"/>
    <cellStyle name="40% - Accent4 2" xfId="92" xr:uid="{3B919A68-C49A-4174-9DF8-9C82112F4C79}"/>
    <cellStyle name="40% - Accent4 2 2" xfId="93" xr:uid="{BDC0A5AD-2604-4E68-8496-B5C4AC20ACCE}"/>
    <cellStyle name="40% - Accent4 2 2 2" xfId="94" xr:uid="{C905A016-71F2-4D80-8FA0-BB662186990C}"/>
    <cellStyle name="40% - Accent4 2 2 2 2" xfId="95" xr:uid="{C8D5454D-B6E1-4EF7-8FB4-F5E75FFB71AE}"/>
    <cellStyle name="40% - Accent4 2 2 2 2 2" xfId="96" xr:uid="{18188C60-908B-4815-828E-93E90EF871D2}"/>
    <cellStyle name="40% - Accent4 2 2 2 2 2 2" xfId="97" xr:uid="{982BC8EE-D487-45B9-B372-D638A2C53D5B}"/>
    <cellStyle name="40% - Accent4 2 2 2 2 2 2 2" xfId="98" xr:uid="{885DAC30-6CFE-4BCB-A9C0-63DAFCE70DCD}"/>
    <cellStyle name="40% - Accent4 3" xfId="99" xr:uid="{8EBD4B36-3A76-465F-A995-81C0E91CDC41}"/>
    <cellStyle name="40% - Accent4 3 2" xfId="100" xr:uid="{B676C9D6-F39C-464E-BA7E-BCEF14CE970C}"/>
    <cellStyle name="40% - Accent4 3 2 2" xfId="101" xr:uid="{720B6A21-BF21-4368-A372-A94C872F62D1}"/>
    <cellStyle name="40% - Accent4 3 2 2 2" xfId="102" xr:uid="{F33602A5-16F4-49E0-A3E9-AE12ABBA6F5F}"/>
    <cellStyle name="40% - Accent5" xfId="103" builtinId="47" customBuiltin="1"/>
    <cellStyle name="40% - Accent5 2" xfId="104" xr:uid="{6ECEE25B-D136-4018-B9B9-0E821831A933}"/>
    <cellStyle name="40% - Accent5 2 2" xfId="105" xr:uid="{42AB5BC7-987B-433A-BAC5-B5AEE591E961}"/>
    <cellStyle name="40% - Accent5 2 2 2" xfId="106" xr:uid="{3BA5AC57-5509-473F-88F3-0DCB5016196B}"/>
    <cellStyle name="40% - Accent5 2 2 2 2" xfId="107" xr:uid="{56A10E2B-BB1B-4A5A-B692-98D3149931DC}"/>
    <cellStyle name="40% - Accent5 2 2 2 2 2" xfId="108" xr:uid="{291DED45-9995-4FD8-A874-0DCC50D5EAB6}"/>
    <cellStyle name="40% - Accent5 2 2 2 2 2 2" xfId="109" xr:uid="{018F61F7-B630-48F7-9075-C9D9091921E2}"/>
    <cellStyle name="40% - Accent5 2 2 2 2 2 2 2" xfId="110" xr:uid="{EE21D3F1-41B9-46AE-A427-DFA75F9D2D54}"/>
    <cellStyle name="40% - Accent5 3" xfId="111" xr:uid="{6B8C85D0-3DAF-4A95-86DE-81358D5A2E54}"/>
    <cellStyle name="40% - Accent5 3 2" xfId="112" xr:uid="{9E208167-D3E0-41C4-95D1-9F6651549041}"/>
    <cellStyle name="40% - Accent5 3 2 2" xfId="113" xr:uid="{2B4F5545-D1BB-497C-8EC2-30AB0CA4973C}"/>
    <cellStyle name="40% - Accent5 3 2 2 2" xfId="114" xr:uid="{1539E942-F830-4F06-A485-70BA9650FFC4}"/>
    <cellStyle name="40% - Accent6" xfId="115" builtinId="51" customBuiltin="1"/>
    <cellStyle name="40% - Accent6 2" xfId="116" xr:uid="{1C85AD4B-5715-494D-9642-896DCD015519}"/>
    <cellStyle name="40% - Accent6 2 2" xfId="117" xr:uid="{BED0D4D2-BB3B-4AB9-AA0A-3F1C69609CD7}"/>
    <cellStyle name="40% - Accent6 2 2 2" xfId="118" xr:uid="{ED3D8E8C-438D-4181-8AFA-9F4E2FC7E5D6}"/>
    <cellStyle name="40% - Accent6 2 2 2 2" xfId="119" xr:uid="{131FF644-14FF-4B14-8F9C-C505A46E1A23}"/>
    <cellStyle name="40% - Accent6 2 2 2 2 2" xfId="120" xr:uid="{E6AD17B2-275F-442E-9420-9B7422E0F5BE}"/>
    <cellStyle name="40% - Accent6 2 2 2 2 2 2" xfId="121" xr:uid="{A1FD86C4-4D89-4B7D-B573-5CCB09B6858B}"/>
    <cellStyle name="40% - Accent6 2 2 2 2 2 2 2" xfId="122" xr:uid="{0BB80713-7FDA-4D2B-9D2D-56132FA65869}"/>
    <cellStyle name="40% - Accent6 3" xfId="123" xr:uid="{FF8C1B95-2AE0-4691-94BB-36D2B148F14F}"/>
    <cellStyle name="40% - Accent6 3 2" xfId="124" xr:uid="{E66528D9-8B30-4780-9741-2B134A2B7D99}"/>
    <cellStyle name="40% - Accent6 3 2 2" xfId="125" xr:uid="{775DE612-A5D0-45D4-AA68-02ECFCFE3ABF}"/>
    <cellStyle name="40% - Accent6 3 2 2 2" xfId="126" xr:uid="{06927D3A-7D4D-4CD7-9D34-3698F3113C69}"/>
    <cellStyle name="60% - Accent1" xfId="127" builtinId="32" customBuiltin="1"/>
    <cellStyle name="60% - Accent1 2" xfId="128" xr:uid="{A26E813B-5E04-4005-A20C-9A0F9D94FA36}"/>
    <cellStyle name="60% - Accent1 3" xfId="129" xr:uid="{F541F11B-A387-4744-B06C-3967E3E7B432}"/>
    <cellStyle name="60% - Accent2" xfId="130" builtinId="36" customBuiltin="1"/>
    <cellStyle name="60% - Accent2 2" xfId="131" xr:uid="{85AE7DFA-D43D-4FBF-ACD8-F2D0CA8B7794}"/>
    <cellStyle name="60% - Accent2 3" xfId="132" xr:uid="{24F2DE6E-A341-4225-B260-FBBBA0243850}"/>
    <cellStyle name="60% - Accent3" xfId="133" builtinId="40" customBuiltin="1"/>
    <cellStyle name="60% - Accent3 2" xfId="134" xr:uid="{F0A8B4CF-C55B-4CEC-ACAE-22055BADC472}"/>
    <cellStyle name="60% - Accent3 3" xfId="135" xr:uid="{72933977-C3F1-4A64-B100-0E3762601680}"/>
    <cellStyle name="60% - Accent4" xfId="136" builtinId="44" customBuiltin="1"/>
    <cellStyle name="60% - Accent4 2" xfId="137" xr:uid="{FBCAE259-2E36-4F84-A4D5-EC3E37440E53}"/>
    <cellStyle name="60% - Accent4 3" xfId="138" xr:uid="{6ABDFB9C-AD96-4550-811B-FF36037A7FA7}"/>
    <cellStyle name="60% - Accent5" xfId="139" builtinId="48" customBuiltin="1"/>
    <cellStyle name="60% - Accent5 2" xfId="140" xr:uid="{54899DBC-2819-48EC-8FD6-02E3174E771E}"/>
    <cellStyle name="60% - Accent5 3" xfId="141" xr:uid="{76642BE3-2240-41F7-A399-AABF37F616AB}"/>
    <cellStyle name="60% - Accent6" xfId="142" builtinId="52" customBuiltin="1"/>
    <cellStyle name="60% - Accent6 2" xfId="143" xr:uid="{9DB9FACD-4B97-4461-BD59-EDE6D7C85424}"/>
    <cellStyle name="60% - Accent6 3" xfId="144" xr:uid="{A2A77709-E035-43D6-9AF4-88E8CADC8565}"/>
    <cellStyle name="Accent1" xfId="145" builtinId="29" customBuiltin="1"/>
    <cellStyle name="Accent1 2" xfId="146" xr:uid="{AF66AF40-100A-442D-89F5-7FA095359001}"/>
    <cellStyle name="Accent1 3" xfId="147" xr:uid="{56ACC151-E20C-4929-B57F-FC82F8F63676}"/>
    <cellStyle name="Accent2" xfId="148" builtinId="33" customBuiltin="1"/>
    <cellStyle name="Accent2 2" xfId="149" xr:uid="{C84EEC3A-F276-42E9-858A-ABE1690273B1}"/>
    <cellStyle name="Accent2 3" xfId="150" xr:uid="{CD47B27F-65F7-4B3F-9751-779DB72EE5AA}"/>
    <cellStyle name="Accent3" xfId="151" builtinId="37" customBuiltin="1"/>
    <cellStyle name="Accent3 2" xfId="152" xr:uid="{C310424C-71BE-4C4F-8DEE-733B7E58AA61}"/>
    <cellStyle name="Accent3 3" xfId="153" xr:uid="{6AA77D93-C0E0-43FF-873D-AEE761104A81}"/>
    <cellStyle name="Accent4" xfId="154" builtinId="41" customBuiltin="1"/>
    <cellStyle name="Accent4 2" xfId="155" xr:uid="{283F0FEA-7713-4CE2-98ED-0E355BAD9DCA}"/>
    <cellStyle name="Accent4 3" xfId="156" xr:uid="{33A7C008-746F-46D3-A10C-D1B9193CE562}"/>
    <cellStyle name="Accent5" xfId="157" builtinId="45" customBuiltin="1"/>
    <cellStyle name="Accent5 2" xfId="158" xr:uid="{C22FA15B-403C-4801-971B-5E8B2D0D04BE}"/>
    <cellStyle name="Accent5 3" xfId="159" xr:uid="{6759C1E5-1999-4A87-9AC1-C41370230161}"/>
    <cellStyle name="Accent6" xfId="160" builtinId="49" customBuiltin="1"/>
    <cellStyle name="Accent6 2" xfId="161" xr:uid="{83AD839C-18D8-4EEA-A076-293D7EFD5482}"/>
    <cellStyle name="Accent6 3" xfId="162" xr:uid="{863B84AB-F83C-41AB-807A-326B7D104B55}"/>
    <cellStyle name="Bad" xfId="163" builtinId="27" customBuiltin="1"/>
    <cellStyle name="Bad 2" xfId="164" xr:uid="{38062984-B0B9-4295-8A75-F9C3604429B9}"/>
    <cellStyle name="Bad 3" xfId="165" xr:uid="{06BF0335-F327-4606-8084-7711615C0C04}"/>
    <cellStyle name="Calculation" xfId="166" builtinId="22" customBuiltin="1"/>
    <cellStyle name="Calculation 2" xfId="167" xr:uid="{82897764-9D06-427F-904F-721782541F91}"/>
    <cellStyle name="Calculation 3" xfId="168" xr:uid="{93D8FBC2-D5FB-410A-836F-E83F9A59716B}"/>
    <cellStyle name="Check Cell" xfId="169" builtinId="23" customBuiltin="1"/>
    <cellStyle name="Check Cell 2" xfId="170" xr:uid="{EBA5F808-025C-4B51-8939-EB548BD5FD7F}"/>
    <cellStyle name="Check Cell 3" xfId="171" xr:uid="{C2E6FB07-74A2-4588-9A82-4646127D4960}"/>
    <cellStyle name="Comma" xfId="172" builtinId="3"/>
    <cellStyle name="Comma 2" xfId="173" xr:uid="{977FE1D0-D294-4381-BA58-521ABB566145}"/>
    <cellStyle name="Comma 2 2" xfId="174" xr:uid="{2BB8713F-B416-4CAE-881F-9E1F474756E0}"/>
    <cellStyle name="Comma 3" xfId="175" xr:uid="{7AB81F24-6EC4-4EBB-A9DE-28B6A80607C1}"/>
    <cellStyle name="Explanatory Text" xfId="176" builtinId="53" customBuiltin="1"/>
    <cellStyle name="Explanatory Text 2" xfId="177" xr:uid="{CC56BE2D-0C64-4652-A83A-5809023C8AB6}"/>
    <cellStyle name="Good" xfId="178" builtinId="26" customBuiltin="1"/>
    <cellStyle name="Good 2" xfId="179" xr:uid="{0989EF8A-1374-4B49-950E-8056F896D6D6}"/>
    <cellStyle name="Good 3" xfId="180" xr:uid="{9535AEA8-60BA-4AC6-8F1B-041E16442F96}"/>
    <cellStyle name="Heading 1" xfId="181" builtinId="16" customBuiltin="1"/>
    <cellStyle name="Heading 1 2" xfId="182" xr:uid="{FD7D42D7-EF47-4838-AA07-D9C51DA0A8F0}"/>
    <cellStyle name="Heading 2" xfId="183" builtinId="17" customBuiltin="1"/>
    <cellStyle name="Heading 2 2" xfId="184" xr:uid="{888466A3-41BA-42ED-8B30-F6C2AEE5EE05}"/>
    <cellStyle name="Heading 2 2 2" xfId="185" xr:uid="{861540F8-8254-4289-A19B-2034637F6779}"/>
    <cellStyle name="Heading 2 2 2 2" xfId="186" xr:uid="{F4DD5E5C-768F-4429-96C2-89C684B1819F}"/>
    <cellStyle name="Heading 2 2 2 2 2" xfId="187" xr:uid="{13092663-3C27-4474-A4E3-C50F7941FC4E}"/>
    <cellStyle name="Heading 2 2 2 2 2 2" xfId="188" xr:uid="{01A8A4D3-A188-4333-86A3-47E4BF52ACCE}"/>
    <cellStyle name="Heading 2 2 2 2 2 2 2" xfId="189" xr:uid="{2F7C255A-E538-49C7-8344-93068BD8C6EB}"/>
    <cellStyle name="Heading 2 2 2 2 2 2 2 2" xfId="190" xr:uid="{C091CA6B-5A85-498F-8A54-8B4DC2EFDD38}"/>
    <cellStyle name="Heading 2 3" xfId="191" xr:uid="{9246EDE2-C143-4195-B3EB-279E7AB9A978}"/>
    <cellStyle name="Heading 2 3 2" xfId="192" xr:uid="{E8FF1B73-A8A3-4D28-A6A8-7F49332C884F}"/>
    <cellStyle name="Heading 2 3 2 2" xfId="193" xr:uid="{9CBB3111-EC65-49E3-A115-CA16E3E6144E}"/>
    <cellStyle name="Heading 2 3 2 2 2" xfId="194" xr:uid="{2731D55B-FFBB-459B-8E7A-EDB056B205C4}"/>
    <cellStyle name="Heading 3" xfId="195" builtinId="18" customBuiltin="1"/>
    <cellStyle name="Heading 3 2" xfId="196" xr:uid="{FD58AB8A-CB5A-44EE-BD09-7BC3EB9693A4}"/>
    <cellStyle name="Heading 4" xfId="197" builtinId="19" customBuiltin="1"/>
    <cellStyle name="Heading 4 2" xfId="198" xr:uid="{D41A5EA5-8445-422F-8DD0-4435F3A41029}"/>
    <cellStyle name="Hyperlink" xfId="199" builtinId="8"/>
    <cellStyle name="Hyperlink 2" xfId="200" xr:uid="{6324D0B8-A2A0-4E38-A5A7-C177D35E0ABE}"/>
    <cellStyle name="Input" xfId="201" builtinId="20" customBuiltin="1"/>
    <cellStyle name="Input 2" xfId="202" xr:uid="{074229F9-4EBE-4B27-A87F-FC0B21059966}"/>
    <cellStyle name="Input 3" xfId="203" xr:uid="{B7238564-0415-410A-B399-55AC8344D3B0}"/>
    <cellStyle name="Linked Cell" xfId="204" builtinId="24" customBuiltin="1"/>
    <cellStyle name="Linked Cell 2" xfId="205" xr:uid="{6F93DBD2-7A7B-47BF-B0C5-35FB02FCF726}"/>
    <cellStyle name="Neutral" xfId="206" builtinId="28" customBuiltin="1"/>
    <cellStyle name="Neutral 2" xfId="207" xr:uid="{D7E214E6-D86C-46FF-9D8B-6067E978241F}"/>
    <cellStyle name="Neutral 3" xfId="208" xr:uid="{B5378C52-979D-402C-B0FE-4C85AFED343E}"/>
    <cellStyle name="Normal" xfId="0" builtinId="0"/>
    <cellStyle name="Normal 2" xfId="209" xr:uid="{406BF22E-6DEA-4789-B74D-07CE7B3A3E69}"/>
    <cellStyle name="Note" xfId="210" builtinId="10" customBuiltin="1"/>
    <cellStyle name="Note 2" xfId="211" xr:uid="{F4BCC8E4-D823-471A-9DF7-EC522AA5078F}"/>
    <cellStyle name="Note 3" xfId="212" xr:uid="{CB59F87A-22CD-4EEC-BAF0-D205AAEF61E4}"/>
    <cellStyle name="Output" xfId="213" builtinId="21" customBuiltin="1"/>
    <cellStyle name="Output 2" xfId="214" xr:uid="{8FDC362F-EC17-4B94-A988-D5263BC0BF33}"/>
    <cellStyle name="Output 3" xfId="215" xr:uid="{D87F555B-3D73-4BF2-B16C-DA3A402FCFE5}"/>
    <cellStyle name="Per cent" xfId="216" builtinId="5"/>
    <cellStyle name="Percent 2" xfId="217" xr:uid="{3C2B72D8-57AF-4FCB-8641-EC79C5061173}"/>
    <cellStyle name="Percent 3" xfId="218" xr:uid="{587D0383-2D2C-44F1-AF28-7AA1967DD286}"/>
    <cellStyle name="Title" xfId="219" builtinId="15" customBuiltin="1"/>
    <cellStyle name="Title 2" xfId="220" xr:uid="{B5568866-F8FA-483E-AFD4-353C78032B06}"/>
    <cellStyle name="Total" xfId="221" builtinId="25" customBuiltin="1"/>
    <cellStyle name="Total 2" xfId="222" xr:uid="{A97E89EC-BB05-49BE-AFAC-401B5EB06299}"/>
    <cellStyle name="Warning Text" xfId="223" builtinId="11" customBuiltin="1"/>
    <cellStyle name="Warning Text 2" xfId="224" xr:uid="{D6B789F7-9A20-44EB-95F4-18F4DA80FEA8}"/>
    <cellStyle name="Warning Text 3" xfId="225" xr:uid="{791F56C3-D1FA-40A3-8F7F-20A7B7B7F121}"/>
  </cellStyles>
  <dxfs count="67"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theme="0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theme="0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rgb="FFFFEE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g/Downloads/GEAK-Export%20Geak-1397%20Proj%201(1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EAK/git/Solutions/EnDK.GEAK/Tests/EnDK.GEAK.IntegrationTests/TestData/ExcelImportExport/GeakPlusIm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gemeine Informationen"/>
      <sheetName val="Dach &amp; Decke"/>
      <sheetName val="Wände"/>
      <sheetName val="Fenster &amp; Türen"/>
      <sheetName val="Boden &amp; Keller"/>
      <sheetName val="Wärmebrücken"/>
      <sheetName val="Wärmeerzeuger"/>
      <sheetName val="Versorgter Bereich Heizung"/>
      <sheetName val="Versorgter Bereich Warmwasser"/>
      <sheetName val="Verbrauchsdaten HWW"/>
      <sheetName val="Geräte &amp; Installationen"/>
      <sheetName val="Kleingeräte &amp; Elektronik"/>
      <sheetName val="Betriebseinrichtungen &amp; Geräte"/>
      <sheetName val="Beleuchtung"/>
      <sheetName val="Photovoltaik"/>
      <sheetName val="Weitere Verbraucher"/>
      <sheetName val="Verbrauchsdaten Elektrizität"/>
      <sheetName val="DropDownData"/>
      <sheetName val="WallOpeningPar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H4" t="str">
            <v/>
          </cell>
          <cell r="AH4" t="str">
            <v>HE-1</v>
          </cell>
        </row>
        <row r="5">
          <cell r="AH5" t="str">
            <v>HE-2</v>
          </cell>
        </row>
        <row r="6">
          <cell r="AH6" t="str">
            <v>HE-3</v>
          </cell>
        </row>
        <row r="7">
          <cell r="AH7" t="str">
            <v>HE-4</v>
          </cell>
        </row>
        <row r="8">
          <cell r="AH8" t="str">
            <v>HE-5</v>
          </cell>
        </row>
        <row r="9">
          <cell r="AH9" t="str">
            <v>HE-6</v>
          </cell>
        </row>
        <row r="10">
          <cell r="AH10" t="str">
            <v>HE-7</v>
          </cell>
        </row>
        <row r="11">
          <cell r="AH11" t="str">
            <v>HE-8</v>
          </cell>
        </row>
        <row r="12">
          <cell r="AH12" t="str">
            <v>HE-9</v>
          </cell>
        </row>
        <row r="13">
          <cell r="AH13" t="str">
            <v>HE-10</v>
          </cell>
        </row>
      </sheetData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gemeine Informationen"/>
      <sheetName val="Dach &amp; Decke"/>
      <sheetName val="Wände"/>
      <sheetName val="Fenster &amp; Türen"/>
      <sheetName val="Boden &amp; Keller"/>
      <sheetName val="Wärmebrücken"/>
      <sheetName val="Wärmeerzeuger"/>
      <sheetName val="Versorgter Bereich Heizung"/>
      <sheetName val="Versorgter Bereich Warmwasser"/>
      <sheetName val="Verbrauchsdaten HWW"/>
      <sheetName val="Geräte &amp; Installationen"/>
      <sheetName val="Kleingeräte &amp; Elektronik"/>
      <sheetName val="Beleuchtung"/>
      <sheetName val="Betriebseinrichtungen &amp; Geräte"/>
      <sheetName val="Photovoltaik"/>
      <sheetName val="Weitere Verbraucher"/>
      <sheetName val="Verbrauchsdaten Elektrizität"/>
      <sheetName val="Lüftung"/>
      <sheetName val="DropDownData"/>
      <sheetName val="WallOpeningPar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4">
          <cell r="E4" t="str">
            <v>kompakt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5E9D-D70C-473B-9B1D-AD19FE14B508}">
  <sheetPr codeName="Sheet1"/>
  <dimension ref="A1:G44"/>
  <sheetViews>
    <sheetView zoomScaleNormal="100" workbookViewId="0">
      <selection activeCell="B2" sqref="B2"/>
    </sheetView>
  </sheetViews>
  <sheetFormatPr defaultColWidth="9.1796875" defaultRowHeight="15" customHeight="1" x14ac:dyDescent="0.25"/>
  <cols>
    <col min="1" max="1" width="38.81640625" style="11" customWidth="1"/>
    <col min="2" max="2" width="47.54296875" style="12" customWidth="1"/>
    <col min="3" max="3" width="6.54296875" style="11" customWidth="1"/>
    <col min="4" max="4" width="30" style="11" customWidth="1"/>
    <col min="5" max="5" width="22.1796875" style="11" customWidth="1"/>
    <col min="6" max="6" width="29.1796875" style="11" customWidth="1"/>
    <col min="7" max="7" width="25.7265625" style="11" customWidth="1"/>
    <col min="8" max="16384" width="9.1796875" style="11"/>
  </cols>
  <sheetData>
    <row r="1" spans="1:7" ht="15" customHeight="1" thickBot="1" x14ac:dyDescent="0.3">
      <c r="A1" s="139" t="s">
        <v>15</v>
      </c>
      <c r="B1" s="140"/>
      <c r="C1" s="140"/>
      <c r="D1" s="140"/>
      <c r="E1" s="140"/>
      <c r="F1" s="140"/>
      <c r="G1" s="140"/>
    </row>
    <row r="2" spans="1:7" ht="15" customHeight="1" thickBot="1" x14ac:dyDescent="0.3">
      <c r="A2" s="107" t="s">
        <v>0</v>
      </c>
      <c r="B2" s="7"/>
      <c r="D2" s="106" t="s">
        <v>136</v>
      </c>
      <c r="E2" s="56">
        <v>46118.336531924549</v>
      </c>
    </row>
    <row r="3" spans="1:7" ht="15" customHeight="1" thickBot="1" x14ac:dyDescent="0.3">
      <c r="A3" s="8"/>
      <c r="B3" s="9"/>
      <c r="C3" s="32"/>
    </row>
    <row r="4" spans="1:7" ht="15" customHeight="1" thickBot="1" x14ac:dyDescent="0.3">
      <c r="A4" s="144" t="s">
        <v>1</v>
      </c>
      <c r="B4" s="145"/>
      <c r="D4" s="141" t="s">
        <v>85</v>
      </c>
      <c r="E4" s="142"/>
      <c r="F4" s="142"/>
      <c r="G4" s="143"/>
    </row>
    <row r="5" spans="1:7" ht="15" customHeight="1" x14ac:dyDescent="0.25">
      <c r="A5" s="108" t="s">
        <v>2</v>
      </c>
      <c r="B5" s="14"/>
      <c r="D5" s="109" t="s">
        <v>86</v>
      </c>
      <c r="E5" s="109" t="s">
        <v>137</v>
      </c>
      <c r="F5" s="109" t="s">
        <v>4</v>
      </c>
      <c r="G5" s="109" t="s">
        <v>138</v>
      </c>
    </row>
    <row r="6" spans="1:7" ht="15" customHeight="1" x14ac:dyDescent="0.25">
      <c r="A6" s="17" t="s">
        <v>41</v>
      </c>
      <c r="B6" s="14"/>
    </row>
    <row r="7" spans="1:7" ht="15" customHeight="1" x14ac:dyDescent="0.25">
      <c r="A7" s="17" t="s">
        <v>42</v>
      </c>
      <c r="B7" s="14"/>
    </row>
    <row r="8" spans="1:7" ht="15" customHeight="1" x14ac:dyDescent="0.25">
      <c r="A8" s="17" t="s">
        <v>4</v>
      </c>
      <c r="B8" s="14"/>
    </row>
    <row r="9" spans="1:7" ht="15" customHeight="1" x14ac:dyDescent="0.25">
      <c r="A9" s="17" t="s">
        <v>43</v>
      </c>
      <c r="B9" s="14"/>
    </row>
    <row r="10" spans="1:7" ht="15" customHeight="1" x14ac:dyDescent="0.25">
      <c r="A10" s="17" t="s">
        <v>14</v>
      </c>
      <c r="B10" s="15"/>
    </row>
    <row r="11" spans="1:7" ht="15" customHeight="1" x14ac:dyDescent="0.25">
      <c r="A11" s="17" t="s">
        <v>13</v>
      </c>
      <c r="B11" s="14"/>
    </row>
    <row r="12" spans="1:7" ht="15" customHeight="1" x14ac:dyDescent="0.25">
      <c r="A12" s="17" t="s">
        <v>5</v>
      </c>
      <c r="B12" s="14"/>
    </row>
    <row r="13" spans="1:7" ht="15" customHeight="1" x14ac:dyDescent="0.25">
      <c r="A13" s="17" t="s">
        <v>3</v>
      </c>
      <c r="B13" s="33"/>
    </row>
    <row r="14" spans="1:7" ht="15" customHeight="1" x14ac:dyDescent="0.25">
      <c r="A14" s="17" t="s">
        <v>44</v>
      </c>
      <c r="B14" s="14"/>
    </row>
    <row r="15" spans="1:7" ht="15" customHeight="1" x14ac:dyDescent="0.25">
      <c r="A15" s="17" t="s">
        <v>45</v>
      </c>
      <c r="B15" s="14"/>
    </row>
    <row r="16" spans="1:7" ht="15" customHeight="1" thickBot="1" x14ac:dyDescent="0.3">
      <c r="A16" s="10"/>
      <c r="B16" s="10"/>
    </row>
    <row r="17" spans="1:2" ht="15" customHeight="1" thickBot="1" x14ac:dyDescent="0.3">
      <c r="A17" s="146" t="s">
        <v>6</v>
      </c>
      <c r="B17" s="147"/>
    </row>
    <row r="18" spans="1:2" ht="26.25" customHeight="1" x14ac:dyDescent="0.25">
      <c r="A18" s="108" t="s">
        <v>14</v>
      </c>
      <c r="B18" s="54"/>
    </row>
    <row r="19" spans="1:2" ht="11.5" x14ac:dyDescent="0.25">
      <c r="A19" s="17" t="s">
        <v>13</v>
      </c>
      <c r="B19" s="14"/>
    </row>
    <row r="20" spans="1:2" ht="15" customHeight="1" x14ac:dyDescent="0.25">
      <c r="A20" s="17" t="s">
        <v>46</v>
      </c>
      <c r="B20" s="14"/>
    </row>
    <row r="21" spans="1:2" ht="15" customHeight="1" x14ac:dyDescent="0.25">
      <c r="A21" s="17" t="s">
        <v>47</v>
      </c>
      <c r="B21" s="14"/>
    </row>
    <row r="22" spans="1:2" ht="11.5" x14ac:dyDescent="0.25">
      <c r="A22" s="17" t="s">
        <v>48</v>
      </c>
      <c r="B22" s="14"/>
    </row>
    <row r="23" spans="1:2" ht="18.649999999999999" customHeight="1" x14ac:dyDescent="0.25">
      <c r="A23" s="17" t="s">
        <v>49</v>
      </c>
      <c r="B23" s="14"/>
    </row>
    <row r="24" spans="1:2" ht="15" customHeight="1" x14ac:dyDescent="0.25">
      <c r="A24" s="17" t="s">
        <v>7</v>
      </c>
      <c r="B24" s="15"/>
    </row>
    <row r="25" spans="1:2" ht="15" customHeight="1" x14ac:dyDescent="0.25">
      <c r="A25" s="17" t="s">
        <v>187</v>
      </c>
      <c r="B25" s="15"/>
    </row>
    <row r="26" spans="1:2" ht="15" customHeight="1" x14ac:dyDescent="0.25">
      <c r="A26" s="17" t="s">
        <v>50</v>
      </c>
      <c r="B26" s="14"/>
    </row>
    <row r="27" spans="1:2" ht="15" customHeight="1" x14ac:dyDescent="0.25">
      <c r="A27" s="17" t="s">
        <v>66</v>
      </c>
      <c r="B27" s="14"/>
    </row>
    <row r="28" spans="1:2" ht="15" customHeight="1" x14ac:dyDescent="0.25">
      <c r="A28" s="17" t="s">
        <v>144</v>
      </c>
      <c r="B28" s="16"/>
    </row>
    <row r="29" spans="1:2" ht="15" customHeight="1" x14ac:dyDescent="0.25">
      <c r="A29" s="17" t="s">
        <v>145</v>
      </c>
      <c r="B29" s="14"/>
    </row>
    <row r="30" spans="1:2" ht="15" customHeight="1" x14ac:dyDescent="0.25">
      <c r="A30" s="17" t="s">
        <v>8</v>
      </c>
      <c r="B30" s="16"/>
    </row>
    <row r="31" spans="1:2" ht="15" customHeight="1" x14ac:dyDescent="0.25">
      <c r="A31" s="17" t="s">
        <v>9</v>
      </c>
      <c r="B31" s="16"/>
    </row>
    <row r="32" spans="1:2" ht="15" customHeight="1" x14ac:dyDescent="0.25">
      <c r="A32" s="17" t="s">
        <v>10</v>
      </c>
      <c r="B32" s="15"/>
    </row>
    <row r="33" spans="1:2" ht="15" customHeight="1" x14ac:dyDescent="0.25">
      <c r="A33" s="17" t="s">
        <v>11</v>
      </c>
      <c r="B33" s="16"/>
    </row>
    <row r="34" spans="1:2" ht="15" customHeight="1" x14ac:dyDescent="0.25">
      <c r="A34" s="17" t="s">
        <v>51</v>
      </c>
      <c r="B34" s="16"/>
    </row>
    <row r="35" spans="1:2" ht="15" customHeight="1" x14ac:dyDescent="0.25">
      <c r="A35" s="17" t="s">
        <v>65</v>
      </c>
      <c r="B35" s="16"/>
    </row>
    <row r="36" spans="1:2" ht="15" customHeight="1" thickBot="1" x14ac:dyDescent="0.3"/>
    <row r="37" spans="1:2" ht="15" customHeight="1" thickBot="1" x14ac:dyDescent="0.3">
      <c r="A37" s="135" t="s">
        <v>23</v>
      </c>
      <c r="B37" s="136"/>
    </row>
    <row r="38" spans="1:2" ht="60" customHeight="1" thickBot="1" x14ac:dyDescent="0.3">
      <c r="A38" s="110" t="s">
        <v>301</v>
      </c>
      <c r="B38" s="18"/>
    </row>
    <row r="39" spans="1:2" ht="15" customHeight="1" thickBot="1" x14ac:dyDescent="0.3">
      <c r="A39" s="13"/>
    </row>
    <row r="40" spans="1:2" ht="15" customHeight="1" thickBot="1" x14ac:dyDescent="0.3">
      <c r="A40" s="135" t="s">
        <v>26</v>
      </c>
      <c r="B40" s="136"/>
    </row>
    <row r="41" spans="1:2" ht="60" customHeight="1" thickBot="1" x14ac:dyDescent="0.3">
      <c r="A41" s="110" t="s">
        <v>25</v>
      </c>
      <c r="B41" s="19"/>
    </row>
    <row r="43" spans="1:2" ht="15" customHeight="1" thickBot="1" x14ac:dyDescent="0.3">
      <c r="A43" s="137" t="s">
        <v>84</v>
      </c>
      <c r="B43" s="138"/>
    </row>
    <row r="44" spans="1:2" ht="60" customHeight="1" x14ac:dyDescent="0.25">
      <c r="A44" s="111" t="s">
        <v>24</v>
      </c>
      <c r="B44" s="55"/>
    </row>
  </sheetData>
  <mergeCells count="7">
    <mergeCell ref="A37:B37"/>
    <mergeCell ref="A40:B40"/>
    <mergeCell ref="A43:B43"/>
    <mergeCell ref="A1:G1"/>
    <mergeCell ref="D4:G4"/>
    <mergeCell ref="A4:B4"/>
    <mergeCell ref="A17:B17"/>
  </mergeCells>
  <conditionalFormatting sqref="E2">
    <cfRule type="containsBlanks" dxfId="66" priority="1">
      <formula>LEN(TRIM(E2))=0</formula>
    </cfRule>
  </conditionalFormatting>
  <dataValidations count="25">
    <dataValidation type="list" showErrorMessage="1" sqref="B5" xr:uid="{FF002643-82CE-47DB-B19D-73ED238F01D5}">
      <formula1>Title</formula1>
    </dataValidation>
    <dataValidation type="list" showErrorMessage="1" sqref="B34" xr:uid="{6B7B44AA-A4B3-4F73-A648-80121BB0C116}">
      <formula1>ConstructionType</formula1>
    </dataValidation>
    <dataValidation type="list" showErrorMessage="1" sqref="B35" xr:uid="{9705ADAB-25CF-439F-B476-A55D209CC443}">
      <formula1>GroundPlanType</formula1>
    </dataValidation>
    <dataValidation type="list" showErrorMessage="1" sqref="B27" xr:uid="{2A5A853A-49C9-4249-B80C-F97CF1BD1B26}">
      <formula1>WeatherStations</formula1>
    </dataValidation>
    <dataValidation type="list" showErrorMessage="1" sqref="B28" xr:uid="{AE329837-DD09-4213-B309-78A17903B2FE}">
      <formula1>BestKnownWeatherStations</formula1>
    </dataValidation>
    <dataValidation type="textLength" operator="lessThanOrEqual" allowBlank="1" showInputMessage="1" showErrorMessage="1" prompt="Max. 50 Zeichen." sqref="B2" xr:uid="{5B3ACA7D-BE40-47CA-8728-C0BE31C0D645}">
      <formula1>50</formula1>
    </dataValidation>
    <dataValidation type="textLength" operator="lessThanOrEqual" allowBlank="1" showInputMessage="1" showErrorMessage="1" prompt="Max. 50 Zeichen." sqref="B6" xr:uid="{F09C5CA6-B1CB-4AEB-A36A-BFC12F319AD9}">
      <formula1>50</formula1>
    </dataValidation>
    <dataValidation type="textLength" operator="lessThanOrEqual" allowBlank="1" showInputMessage="1" showErrorMessage="1" prompt="Max. 50 Zeichen." sqref="B7" xr:uid="{7D69034E-1A27-433B-A656-03FA577BA267}">
      <formula1>50</formula1>
    </dataValidation>
    <dataValidation type="textLength" operator="lessThanOrEqual" allowBlank="1" showInputMessage="1" showErrorMessage="1" prompt="Max. 250 Zeichen." sqref="B8" xr:uid="{559DAD44-1E19-4A71-9664-1EFDE4090A3F}">
      <formula1>250</formula1>
    </dataValidation>
    <dataValidation type="textLength" operator="lessThanOrEqual" allowBlank="1" showInputMessage="1" showErrorMessage="1" prompt="Max. 250 Zeichen." sqref="B9" xr:uid="{D5DECB31-A49E-4104-A8F6-678A04C83B41}">
      <formula1>250</formula1>
    </dataValidation>
    <dataValidation type="textLength" operator="lessThanOrEqual" allowBlank="1" showInputMessage="1" showErrorMessage="1" prompt="Max. 20 Zeichen." sqref="B10" xr:uid="{2CCF97AD-4C5F-4F8F-BE8D-1CE663E12C8E}">
      <formula1>20</formula1>
    </dataValidation>
    <dataValidation type="textLength" operator="lessThanOrEqual" allowBlank="1" showInputMessage="1" showErrorMessage="1" prompt="Max. 50 Zeichen." sqref="B11" xr:uid="{690A3BB7-4B15-450E-94D7-69A1F8A3CDB6}">
      <formula1>50</formula1>
    </dataValidation>
    <dataValidation type="textLength" operator="lessThanOrEqual" allowBlank="1" showInputMessage="1" showErrorMessage="1" prompt="Max. 50 Zeichen." sqref="B12" xr:uid="{D422634A-AD41-48D2-AC49-A38FBD506B1C}">
      <formula1>50</formula1>
    </dataValidation>
    <dataValidation type="textLength" operator="lessThanOrEqual" allowBlank="1" showInputMessage="1" showErrorMessage="1" prompt="Max. 250 Zeichen." sqref="B13" xr:uid="{35308C22-7DB1-4E14-9D95-660474295B23}">
      <formula1>250</formula1>
    </dataValidation>
    <dataValidation type="textLength" operator="lessThanOrEqual" allowBlank="1" showInputMessage="1" showErrorMessage="1" prompt="Max. 100 Zeichen." sqref="B14" xr:uid="{A4F4AE54-D316-4B66-8FD8-8EFAD023F57C}">
      <formula1>100</formula1>
    </dataValidation>
    <dataValidation type="textLength" operator="lessThanOrEqual" allowBlank="1" showInputMessage="1" showErrorMessage="1" prompt="Max. 100 Zeichen." sqref="B15" xr:uid="{733973B2-2135-444D-9933-AB72FE568959}">
      <formula1>100</formula1>
    </dataValidation>
    <dataValidation type="textLength" operator="lessThanOrEqual" allowBlank="1" showInputMessage="1" showErrorMessage="1" prompt="Max. 250 Zeichen." sqref="B19" xr:uid="{119639EC-B0A8-4483-B927-D66C1CBD6E0A}">
      <formula1>250</formula1>
    </dataValidation>
    <dataValidation type="textLength" operator="lessThanOrEqual" allowBlank="1" showInputMessage="1" showErrorMessage="1" prompt="Max. 250 Zeichen." sqref="B20" xr:uid="{1F6E06AA-4475-47F2-9BF7-328D042E5FF4}">
      <formula1>250</formula1>
    </dataValidation>
    <dataValidation type="textLength" operator="lessThanOrEqual" allowBlank="1" showInputMessage="1" showErrorMessage="1" prompt="Max. 250 Zeichen." sqref="B21" xr:uid="{26D14DE1-1129-482A-8E30-85CB09C91DF1}">
      <formula1>250</formula1>
    </dataValidation>
    <dataValidation type="textLength" operator="lessThanOrEqual" allowBlank="1" showInputMessage="1" showErrorMessage="1" prompt="Max. 250 Zeichen." sqref="B22" xr:uid="{66E5F7B9-A214-49FC-899C-B4A4C2EF1A78}">
      <formula1>250</formula1>
    </dataValidation>
    <dataValidation type="textLength" operator="lessThanOrEqual" allowBlank="1" showInputMessage="1" showErrorMessage="1" prompt="Max. 250 Zeichen." sqref="B23" xr:uid="{5C845C48-EB66-4425-99DA-0B25F37345D5}">
      <formula1>250</formula1>
    </dataValidation>
    <dataValidation type="textLength" operator="lessThanOrEqual" allowBlank="1" showInputMessage="1" showErrorMessage="1" prompt="Max. 250 Zeichen." sqref="B26" xr:uid="{25F28F17-5181-411F-B6BD-0258E94FFB0E}">
      <formula1>250</formula1>
    </dataValidation>
    <dataValidation type="textLength" operator="lessThanOrEqual" allowBlank="1" showInputMessage="1" showErrorMessage="1" prompt="Max. 600 Zeichen." sqref="B38" xr:uid="{C421032F-98B0-4BA0-9F44-AB4B832D995E}">
      <formula1>600</formula1>
    </dataValidation>
    <dataValidation type="textLength" operator="lessThanOrEqual" allowBlank="1" showInputMessage="1" showErrorMessage="1" prompt="Max. 1000 Zeichen." sqref="B41" xr:uid="{0407EC80-6F8D-458C-84AF-C31CB3396F06}">
      <formula1>1000</formula1>
    </dataValidation>
    <dataValidation type="textLength" operator="lessThanOrEqual" allowBlank="1" showInputMessage="1" showErrorMessage="1" prompt="Max. 1000 Zeichen." sqref="B44" xr:uid="{02615331-E43A-4298-8769-AC2469B99A80}">
      <formula1>1000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701A-3E0B-4BEC-8DF4-2D7DD5AAED02}">
  <dimension ref="A1:J66"/>
  <sheetViews>
    <sheetView tabSelected="1" zoomScaleNormal="100" workbookViewId="0">
      <selection activeCell="B27" sqref="B27"/>
    </sheetView>
  </sheetViews>
  <sheetFormatPr defaultRowHeight="14.5" x14ac:dyDescent="0.35"/>
  <cols>
    <col min="1" max="6" width="37.1796875" customWidth="1"/>
  </cols>
  <sheetData>
    <row r="1" spans="1:10" ht="15" thickBot="1" x14ac:dyDescent="0.4">
      <c r="A1" s="154" t="s">
        <v>168</v>
      </c>
      <c r="B1" s="155"/>
      <c r="C1" s="155"/>
      <c r="D1" s="155"/>
      <c r="E1" s="155"/>
      <c r="F1" s="155"/>
      <c r="G1" s="155"/>
      <c r="H1" s="155"/>
      <c r="I1" s="155"/>
      <c r="J1" s="155"/>
    </row>
    <row r="3" spans="1:10" ht="15" thickBot="1" x14ac:dyDescent="0.4">
      <c r="B3" s="65"/>
      <c r="C3" s="65"/>
      <c r="D3" s="65"/>
    </row>
    <row r="4" spans="1:10" ht="15.75" customHeight="1" thickBot="1" x14ac:dyDescent="0.4">
      <c r="A4" s="63"/>
      <c r="B4" s="116" t="s">
        <v>158</v>
      </c>
      <c r="C4" s="116" t="s">
        <v>159</v>
      </c>
      <c r="D4" s="116" t="s">
        <v>160</v>
      </c>
    </row>
    <row r="5" spans="1:10" ht="15" thickBot="1" x14ac:dyDescent="0.4">
      <c r="A5" s="112" t="s">
        <v>161</v>
      </c>
      <c r="B5" s="78"/>
      <c r="C5" s="78"/>
      <c r="D5" s="78"/>
    </row>
    <row r="6" spans="1:10" s="66" customFormat="1" x14ac:dyDescent="0.35">
      <c r="A6" s="113" t="s">
        <v>169</v>
      </c>
      <c r="B6" s="74"/>
      <c r="C6" s="74"/>
      <c r="D6" s="74"/>
      <c r="E6" s="114" t="s">
        <v>166</v>
      </c>
    </row>
    <row r="7" spans="1:10" x14ac:dyDescent="0.35">
      <c r="A7" s="113" t="s">
        <v>162</v>
      </c>
      <c r="B7" s="74"/>
      <c r="C7" s="74"/>
      <c r="D7" s="74"/>
      <c r="E7" s="67">
        <f>SUM(B7:D7)</f>
        <v>0</v>
      </c>
    </row>
    <row r="8" spans="1:10" ht="15" thickBot="1" x14ac:dyDescent="0.4">
      <c r="A8" s="113" t="s">
        <v>163</v>
      </c>
      <c r="B8" s="79"/>
      <c r="C8" s="79" t="str">
        <f>IF(ISBLANK(C7),"",C7/$E$7)</f>
        <v/>
      </c>
      <c r="D8" s="79" t="str">
        <f>IF(ISBLANK(D7),"",D7/$E$7)</f>
        <v/>
      </c>
      <c r="E8" s="68" t="str">
        <f>IF(OR(ISBLANK(E7),E7=0),"",E7/$E$7)</f>
        <v/>
      </c>
    </row>
    <row r="9" spans="1:10" s="66" customFormat="1" ht="15" thickBot="1" x14ac:dyDescent="0.4">
      <c r="A9" s="115" t="s">
        <v>7</v>
      </c>
      <c r="B9" s="76"/>
      <c r="C9" s="76"/>
      <c r="D9" s="75"/>
      <c r="E9" s="77"/>
    </row>
    <row r="10" spans="1:10" ht="15" thickBot="1" x14ac:dyDescent="0.4">
      <c r="A10" s="64"/>
      <c r="B10" s="64"/>
      <c r="C10" s="64"/>
      <c r="D10" s="64"/>
    </row>
    <row r="11" spans="1:10" ht="15" thickBot="1" x14ac:dyDescent="0.4">
      <c r="A11" s="151" t="s">
        <v>164</v>
      </c>
      <c r="B11" s="152"/>
      <c r="C11" s="152"/>
      <c r="D11" s="153"/>
    </row>
    <row r="12" spans="1:10" x14ac:dyDescent="0.35">
      <c r="A12" s="112" t="s">
        <v>139</v>
      </c>
      <c r="B12" s="72"/>
      <c r="C12" s="73"/>
      <c r="D12" s="73"/>
    </row>
    <row r="13" spans="1:10" x14ac:dyDescent="0.35">
      <c r="A13" s="113" t="s">
        <v>141</v>
      </c>
      <c r="B13" s="67"/>
      <c r="C13" s="74"/>
      <c r="D13" s="74"/>
    </row>
    <row r="14" spans="1:10" x14ac:dyDescent="0.35">
      <c r="A14" s="113" t="s">
        <v>142</v>
      </c>
      <c r="B14" s="67"/>
      <c r="C14" s="74"/>
      <c r="D14" s="74"/>
    </row>
    <row r="15" spans="1:10" x14ac:dyDescent="0.35">
      <c r="A15" s="113" t="s">
        <v>143</v>
      </c>
      <c r="B15" s="67"/>
      <c r="C15" s="74"/>
      <c r="D15" s="74"/>
    </row>
    <row r="16" spans="1:10" x14ac:dyDescent="0.35">
      <c r="A16" s="113" t="s">
        <v>182</v>
      </c>
      <c r="B16" s="67"/>
      <c r="C16" s="74"/>
      <c r="D16" s="74"/>
    </row>
    <row r="17" spans="1:6" x14ac:dyDescent="0.35">
      <c r="A17" s="113" t="s">
        <v>140</v>
      </c>
      <c r="B17" s="67"/>
      <c r="C17" s="74"/>
      <c r="D17" s="74"/>
    </row>
    <row r="18" spans="1:6" x14ac:dyDescent="0.35">
      <c r="A18" s="113" t="s">
        <v>165</v>
      </c>
      <c r="B18" s="67"/>
      <c r="C18" s="74"/>
      <c r="D18" s="74"/>
    </row>
    <row r="19" spans="1:6" ht="15" thickBot="1" x14ac:dyDescent="0.4">
      <c r="A19" s="115" t="s">
        <v>183</v>
      </c>
      <c r="B19" s="75"/>
      <c r="C19" s="76"/>
      <c r="D19" s="76"/>
    </row>
    <row r="20" spans="1:6" ht="15" thickBot="1" x14ac:dyDescent="0.4">
      <c r="A20" s="65"/>
      <c r="B20" s="65"/>
      <c r="C20" s="65"/>
      <c r="D20" s="65"/>
      <c r="E20" s="65"/>
      <c r="F20" s="65"/>
    </row>
    <row r="21" spans="1:6" x14ac:dyDescent="0.35">
      <c r="A21" s="148" t="s">
        <v>158</v>
      </c>
      <c r="B21" s="149"/>
      <c r="C21" s="150" t="s">
        <v>159</v>
      </c>
      <c r="D21" s="149"/>
      <c r="E21" s="150" t="s">
        <v>160</v>
      </c>
      <c r="F21" s="149"/>
    </row>
    <row r="22" spans="1:6" s="60" customFormat="1" ht="24" customHeight="1" x14ac:dyDescent="0.35">
      <c r="A22" s="69" t="str">
        <f>IF(B5="Restaurant","Anzahl Sitze",IF(B5="Hotel","Belegung «Ganzes Jahr»? (1=Ja, 0=Nein)",IF(B5="Schule","Anzahl Schüler",IF(B5="Büro/Verwaltung","Anzahl Personal",IF(B5="Einfamilienhaus","Anzahl Personen",IF(B5="Mehrfamilienhaus","Anzahl Personen",""))))))</f>
        <v/>
      </c>
      <c r="B22" s="70"/>
      <c r="C22" s="117" t="str">
        <f>IF(C5="Restaurant","Anzahl Sitze",IF(C5="Hotel","Belegung «Ganzes Jahr»? (1=Ja, 0=Nein)",IF(C5="Schule","Anzahl Schüler",IF(C5="Büro/Verwaltung","Anzahl Personal",IF(C5="Einfamilienhaus","Anzahl Personen",IF(C5="Mehrfamilienhaus","Anzahl Personen",""))))))</f>
        <v/>
      </c>
      <c r="D22" s="70"/>
      <c r="E22" s="117" t="str">
        <f>IF(D5="Restaurant","Anzahl Sitze",IF(D5="Hotel","Belegung «Ganzes Jahr»? (1=Ja, 0=Nein)",IF(D5="Schule","Anzahl Schüler",IF(D5="Büro/Verwaltung","Anzahl Personal",IF(D5="Einfamilienhaus","Anzahl Personen",IF(D5="Mehrfamilienhaus","Anzahl Personen",""))))))</f>
        <v/>
      </c>
      <c r="F22" s="70"/>
    </row>
    <row r="23" spans="1:6" s="60" customFormat="1" ht="24" customHeight="1" x14ac:dyDescent="0.35">
      <c r="A23" s="69" t="str">
        <f>IF(B5="Hotel","Anzahl Übernachtungen",IF(B5="Schule","Anzahl Klassenzimmer",IF(B5="Büro/Verwaltung","Anzahl Arbeitsplätze",IF(B5="Einfamilienhaus","Anzahl 1-Zimmer-Wohnungen",IF(B5="Mehrfamilienhaus","Anzahl 1-Zimmer-Wohnungen","")))))</f>
        <v/>
      </c>
      <c r="B23" s="70"/>
      <c r="C23" s="117" t="str">
        <f>IF(C5="Hotel","Anzahl Übernachtungen",IF(C5="Schule","Anzahl Klassenzimmer",IF(C5="Büro/Verwaltung","Anzahl Arbeitsplätze",IF(C5="Einfamilienhaus","Anzahl 1-Zimmer-Wohnungen",IF(C5="Mehrfamilienhaus","Anzahl 1-Zimmer-Wohnungen","")))))</f>
        <v/>
      </c>
      <c r="D23" s="70"/>
      <c r="E23" s="117" t="str">
        <f>IF(D5="Hotel","Anzahl Übernachtungen",IF(D5="Schule","Anzahl Klassenzimmer",IF(D5="Büro/Verwaltung","Anzahl Arbeitsplätze",IF(D5="Einfamilienhaus","Anzahl 1-Zimmer-Wohnungen",IF(D5="Mehrfamilienhaus","Anzahl 1-Zimmer-Wohnungen","")))))</f>
        <v/>
      </c>
      <c r="F23" s="70"/>
    </row>
    <row r="24" spans="1:6" s="60" customFormat="1" ht="24" customHeight="1" x14ac:dyDescent="0.35">
      <c r="A24" s="69" t="str">
        <f>IF(B5="Hotel","Anzahl Zimmer",IF(B5="Schule","Turnhalle",IF(B5="Büro/Verwaltung","Mittlere Benutzungszeit der Arbeitsplätze (wegen Teilzeitarbeit oder Aussendienst), in %",IF(B5="Einfamilienhaus","Anzahl 2-Zimmer-Wohnungen",IF(B5="Mehrfamilienhaus","Anzahl 2-Zimmer-Wohnungen","")))))</f>
        <v/>
      </c>
      <c r="B24" s="70"/>
      <c r="C24" s="117" t="str">
        <f>IF(C5="Hotel","Anzahl Zimmer",IF(C5="Schule","Turnhalle",IF(C5="Büro/Verwaltung","Mittlere Benutzungszeit der Arbeitsplätze (wegen Teilzeitarbeit oder Aussendienst), in %",IF(C5="Einfamilienhaus","Anzahl 2-Zimmer-Wohnungen",IF(C5="Mehrfamilienhaus","Anzahl 2-Zimmer-Wohnungen","")))))</f>
        <v/>
      </c>
      <c r="D24" s="70"/>
      <c r="E24" s="117" t="str">
        <f>IF(D5="Hotel","Anzahl Zimmer",IF(D5="Schule","Turnhalle",IF(D5="Büro/Verwaltung","Mittlere Benutzungszeit der Arbeitsplätze (wegen Teilzeitarbeit oder Aussendienst), in %",IF(D5="Einfamilienhaus","Anzahl 2-Zimmer-Wohnungen",IF(D5="Mehrfamilienhaus","Anzahl 2-Zimmer-Wohnungen","")))))</f>
        <v/>
      </c>
      <c r="F24" s="70"/>
    </row>
    <row r="25" spans="1:6" s="60" customFormat="1" ht="24" customHeight="1" x14ac:dyDescent="0.35">
      <c r="A25" s="69" t="str">
        <f>IF(B5="Hotel","Anzahl Betten",IF(B5="Einfamilienhaus","Anzahl 3-Zimmer-Wohnungen",IF(B5="Mehrfamilienhaus","Anzahl 3-Zimmer-Wohnungen","")))</f>
        <v/>
      </c>
      <c r="B25" s="70"/>
      <c r="C25" s="117" t="str">
        <f>IF(C5="Hotel","Anzahl Betten",IF(C5="Einfamilienhaus","Anzahl 3-Zimmer-Wohnungen",IF(C5="Mehrfamilienhaus","Anzahl 3-Zimmer-Wohnungen","")))</f>
        <v/>
      </c>
      <c r="D25" s="70"/>
      <c r="E25" s="117" t="str">
        <f>IF(D5="Hotel","Anzahl Betten",IF(D5="Einfamilienhaus","Anzahl 3-Zimmer-Wohnungen",IF(D5="Mehrfamilienhaus","Anzahl 3-Zimmer-Wohnungen","")))</f>
        <v/>
      </c>
      <c r="F25" s="70"/>
    </row>
    <row r="26" spans="1:6" s="60" customFormat="1" ht="24" customHeight="1" x14ac:dyDescent="0.35">
      <c r="A26" s="69" t="str">
        <f>IF(B5="Hotel","Wellnessbereich vorhanden? (1=Ja, 0=Nein)",IF(B5="Einfamilienhaus","Anzahl 4-Zimmer-Wohnungen",IF(B5="Mehrfamilienhaus","Anzahl 4-Zimmer-Wohnungen","")))</f>
        <v/>
      </c>
      <c r="B26" s="70"/>
      <c r="C26" s="117" t="str">
        <f>IF(C5="Hotel","Wellnessbereich vorhanden? (1=Ja, 0=Nein)",IF(C5="Einfamilienhaus","Anzahl 4-Zimmer-Wohnungen",IF(C5="Mehrfamilienhaus","Anzahl 4-Zimmer-Wohnungen","")))</f>
        <v/>
      </c>
      <c r="D26" s="70"/>
      <c r="E26" s="117" t="str">
        <f>IF(D5="Hotel","Wellnessbereich vorhanden? (1=Ja, 0=Nein)",IF(D5="Einfamilienhaus","Anzahl 4-Zimmer-Wohnungen",IF(D5="Mehrfamilienhaus","Anzahl 4-Zimmer-Wohnungen","")))</f>
        <v/>
      </c>
      <c r="F26" s="70"/>
    </row>
    <row r="27" spans="1:6" s="60" customFormat="1" ht="24" customHeight="1" x14ac:dyDescent="0.35">
      <c r="A27" s="69" t="str">
        <f>IF(B5="Hotel","Schwimmhalle vorhanden? (1=Ja, 0=Nein)",IF(B5="Einfamilienhaus","Anzahl 5-Zimmer-Wohnungen",IF(B5="Mehrfamilienhaus","Anzahl 5-Zimmer-Wohnungen","")))</f>
        <v/>
      </c>
      <c r="B27" s="70">
        <v>1</v>
      </c>
      <c r="C27" s="117" t="str">
        <f>IF(C5="Hotel","Schwimmhalle vorhanden? (1=Ja, 0=Nein)",IF(C5="Einfamilienhaus","Anzahl 5-Zimmer-Wohnungen",IF(C5="Mehrfamilienhaus","Anzahl 5-Zimmer-Wohnungen","")))</f>
        <v/>
      </c>
      <c r="D27" s="70"/>
      <c r="E27" s="117" t="str">
        <f>IF(D5="Hotel","Schwimmhalle vorhanden? (1=Ja, 0=Nein)",IF(D5="Einfamilienhaus","Anzahl 5-Zimmer-Wohnungen",IF(D5="Mehrfamilienhaus","Anzahl 5-Zimmer-Wohnungen","")))</f>
        <v/>
      </c>
      <c r="F27" s="70"/>
    </row>
    <row r="28" spans="1:6" s="60" customFormat="1" ht="24" customHeight="1" x14ac:dyDescent="0.35">
      <c r="A28" s="69" t="str">
        <f>IF(B5="Hotel","Fitnessraum vorhanden? (1=Ja, 0=Nein)",IF(B5="Einfamilienhaus","Anzahl 6-Zimmer-Wohnungen",IF(B5="Mehrfamilienhaus","Anzahl 6-Zimmer-Wohnungen","")))</f>
        <v/>
      </c>
      <c r="B28" s="70"/>
      <c r="C28" s="117" t="str">
        <f>IF(C5="Hotel","Fitnessraum vorhanden? (1=Ja, 0=Nein)",IF(C5="Einfamilienhaus","Anzahl 6-Zimmer-Wohnungen",IF(C5="Mehrfamilienhaus","Anzahl 6-Zimmer-Wohnungen","")))</f>
        <v/>
      </c>
      <c r="D28" s="70"/>
      <c r="E28" s="117" t="str">
        <f>IF(D5="Hotel","Fitnessraum vorhanden? (1=Ja, 0=Nein)",IF(D5="Einfamilienhaus","Anzahl 6-Zimmer-Wohnungen",IF(D5="Mehrfamilienhaus","Anzahl 6-Zimmer-Wohnungen","")))</f>
        <v/>
      </c>
      <c r="F28" s="70"/>
    </row>
    <row r="29" spans="1:6" s="60" customFormat="1" ht="24" customHeight="1" x14ac:dyDescent="0.35">
      <c r="A29" s="69" t="str">
        <f>IF(B5="Hotel","Wäscherei vorhanden? (1=Ja, 0=Nein)",IF(B5="Einfamilienhaus","Anzahl Wohnungen mit über 6 Zimmer",IF(B5="Mehrfamilienhaus","Anzahl Wohnungen mit über 6 Zimmer","")))</f>
        <v/>
      </c>
      <c r="B29" s="70"/>
      <c r="C29" s="117" t="str">
        <f>IF(C5="Hotel","Wäscherei vorhanden? (1=Ja, 0=Nein)",IF(C5="Einfamilienhaus","Anzahl Wohnungen mit über 6 Zimmer",IF(C5="Mehrfamilienhaus","Anzahl Wohnungen mit über 6 Zimmer","")))</f>
        <v/>
      </c>
      <c r="D29" s="70"/>
      <c r="E29" s="117" t="str">
        <f>IF(D5="Hotel","Wäscherei vorhanden? (1=Ja, 0=Nein)",IF(D5="Einfamilienhaus","Anzahl Wohnungen mit über 6 Zimmer",IF(D5="Mehrfamilienhaus","Anzahl Wohnungen mit über 6 Zimmer","")))</f>
        <v/>
      </c>
      <c r="F29" s="70"/>
    </row>
    <row r="30" spans="1:6" s="60" customFormat="1" ht="24" customHeight="1" x14ac:dyDescent="0.35">
      <c r="A30" s="71"/>
      <c r="B30" s="71"/>
      <c r="C30" s="71"/>
      <c r="D30" s="71"/>
      <c r="E30" s="71"/>
      <c r="F30" s="71"/>
    </row>
    <row r="31" spans="1:6" s="60" customFormat="1" ht="24" customHeight="1" x14ac:dyDescent="0.35">
      <c r="A31" s="71"/>
      <c r="B31" s="71"/>
      <c r="C31" s="71"/>
      <c r="D31" s="71"/>
      <c r="E31" s="71"/>
      <c r="F31" s="71"/>
    </row>
    <row r="32" spans="1:6" s="60" customFormat="1" ht="24" customHeight="1" x14ac:dyDescent="0.35">
      <c r="A32" s="71"/>
      <c r="B32" s="71"/>
      <c r="C32" s="71"/>
      <c r="D32" s="71"/>
      <c r="E32" s="71"/>
      <c r="F32" s="71"/>
    </row>
    <row r="33" spans="1:6" s="60" customFormat="1" ht="24" customHeight="1" x14ac:dyDescent="0.35">
      <c r="A33" s="71"/>
      <c r="B33" s="71"/>
      <c r="C33" s="71"/>
      <c r="D33" s="71"/>
      <c r="E33" s="71"/>
      <c r="F33" s="71"/>
    </row>
    <row r="34" spans="1:6" s="60" customFormat="1" ht="24" customHeight="1" x14ac:dyDescent="0.35">
      <c r="A34" s="71"/>
      <c r="B34" s="71"/>
      <c r="C34" s="71"/>
      <c r="D34" s="71"/>
      <c r="E34" s="71"/>
      <c r="F34" s="71"/>
    </row>
    <row r="35" spans="1:6" s="60" customFormat="1" ht="24" customHeight="1" x14ac:dyDescent="0.35">
      <c r="A35" s="71"/>
      <c r="B35" s="71"/>
      <c r="C35" s="71"/>
      <c r="D35" s="71"/>
      <c r="E35" s="71"/>
      <c r="F35" s="71"/>
    </row>
    <row r="36" spans="1:6" s="60" customFormat="1" ht="24" customHeight="1" x14ac:dyDescent="0.35">
      <c r="A36" s="61"/>
      <c r="B36" s="61"/>
      <c r="C36" s="61"/>
      <c r="D36" s="61"/>
      <c r="E36" s="61"/>
      <c r="F36" s="61"/>
    </row>
    <row r="37" spans="1:6" s="60" customFormat="1" ht="24" customHeight="1" x14ac:dyDescent="0.35">
      <c r="A37" s="61"/>
      <c r="B37" s="61"/>
      <c r="C37" s="61"/>
      <c r="D37" s="62"/>
      <c r="E37" s="61"/>
      <c r="F37" s="62"/>
    </row>
    <row r="38" spans="1:6" s="60" customFormat="1" ht="24" customHeight="1" x14ac:dyDescent="0.35">
      <c r="A38" s="61"/>
      <c r="B38" s="61"/>
      <c r="C38" s="61"/>
      <c r="D38" s="62"/>
      <c r="E38" s="61"/>
      <c r="F38" s="62"/>
    </row>
    <row r="39" spans="1:6" s="60" customFormat="1" ht="24" customHeight="1" x14ac:dyDescent="0.35">
      <c r="A39" s="61"/>
      <c r="B39" s="61"/>
      <c r="C39" s="61"/>
      <c r="D39" s="62"/>
      <c r="E39" s="61"/>
      <c r="F39" s="62"/>
    </row>
    <row r="40" spans="1:6" s="60" customFormat="1" ht="24" customHeight="1" x14ac:dyDescent="0.35">
      <c r="A40" s="61"/>
      <c r="B40" s="61"/>
      <c r="C40" s="61"/>
      <c r="D40" s="62"/>
      <c r="E40" s="61"/>
      <c r="F40" s="62"/>
    </row>
    <row r="41" spans="1:6" s="60" customFormat="1" ht="24" customHeight="1" x14ac:dyDescent="0.35">
      <c r="A41" s="61"/>
      <c r="B41" s="61"/>
      <c r="C41" s="61"/>
      <c r="D41" s="62"/>
      <c r="E41" s="61"/>
      <c r="F41" s="62"/>
    </row>
    <row r="42" spans="1:6" x14ac:dyDescent="0.35">
      <c r="A42" s="59"/>
      <c r="B42" s="61"/>
      <c r="C42" s="61"/>
      <c r="D42" s="59"/>
      <c r="E42" s="59"/>
      <c r="F42" s="59"/>
    </row>
    <row r="43" spans="1:6" x14ac:dyDescent="0.35">
      <c r="A43" s="59"/>
      <c r="B43" s="59"/>
      <c r="C43" s="59"/>
      <c r="D43" s="59"/>
      <c r="E43" s="59"/>
      <c r="F43" s="59"/>
    </row>
    <row r="44" spans="1:6" x14ac:dyDescent="0.35">
      <c r="A44" s="59"/>
      <c r="B44" s="59"/>
      <c r="C44" s="59"/>
      <c r="D44" s="59"/>
      <c r="E44" s="59"/>
      <c r="F44" s="59"/>
    </row>
    <row r="45" spans="1:6" x14ac:dyDescent="0.35">
      <c r="A45" s="59"/>
      <c r="B45" s="59"/>
      <c r="C45" s="59"/>
      <c r="D45" s="59"/>
      <c r="E45" s="59"/>
      <c r="F45" s="59"/>
    </row>
    <row r="46" spans="1:6" x14ac:dyDescent="0.35">
      <c r="A46" s="59"/>
      <c r="B46" s="59"/>
      <c r="C46" s="59"/>
      <c r="D46" s="59"/>
      <c r="E46" s="59"/>
      <c r="F46" s="59"/>
    </row>
    <row r="47" spans="1:6" x14ac:dyDescent="0.35">
      <c r="A47" s="59"/>
      <c r="B47" s="59"/>
      <c r="C47" s="59"/>
      <c r="D47" s="59"/>
      <c r="E47" s="59"/>
      <c r="F47" s="59"/>
    </row>
    <row r="48" spans="1:6" x14ac:dyDescent="0.35">
      <c r="A48" s="59"/>
      <c r="B48" s="59"/>
      <c r="C48" s="59"/>
      <c r="D48" s="59"/>
      <c r="E48" s="59"/>
      <c r="F48" s="59"/>
    </row>
    <row r="49" spans="1:6" x14ac:dyDescent="0.35">
      <c r="A49" s="59"/>
      <c r="B49" s="59"/>
      <c r="C49" s="59"/>
      <c r="D49" s="59"/>
      <c r="E49" s="59"/>
      <c r="F49" s="59"/>
    </row>
    <row r="50" spans="1:6" x14ac:dyDescent="0.35">
      <c r="A50" s="59"/>
      <c r="B50" s="59"/>
      <c r="C50" s="59"/>
      <c r="D50" s="59"/>
      <c r="E50" s="59"/>
      <c r="F50" s="59"/>
    </row>
    <row r="51" spans="1:6" x14ac:dyDescent="0.35">
      <c r="A51" s="59"/>
      <c r="B51" s="59"/>
      <c r="C51" s="59"/>
      <c r="D51" s="59"/>
      <c r="E51" s="59"/>
      <c r="F51" s="59"/>
    </row>
    <row r="52" spans="1:6" x14ac:dyDescent="0.35">
      <c r="A52" s="59"/>
      <c r="B52" s="59"/>
      <c r="C52" s="59"/>
      <c r="D52" s="59"/>
      <c r="E52" s="59"/>
      <c r="F52" s="59"/>
    </row>
    <row r="53" spans="1:6" x14ac:dyDescent="0.35">
      <c r="A53" s="59"/>
      <c r="B53" s="59"/>
      <c r="C53" s="59"/>
      <c r="D53" s="59"/>
      <c r="E53" s="59"/>
      <c r="F53" s="59"/>
    </row>
    <row r="54" spans="1:6" x14ac:dyDescent="0.35">
      <c r="A54" s="59"/>
      <c r="B54" s="59"/>
      <c r="C54" s="59"/>
      <c r="D54" s="59"/>
      <c r="E54" s="59"/>
      <c r="F54" s="59"/>
    </row>
    <row r="55" spans="1:6" x14ac:dyDescent="0.35">
      <c r="A55" s="59"/>
      <c r="B55" s="59"/>
      <c r="C55" s="59"/>
      <c r="D55" s="59"/>
      <c r="E55" s="59"/>
      <c r="F55" s="59"/>
    </row>
    <row r="56" spans="1:6" x14ac:dyDescent="0.35">
      <c r="A56" s="59"/>
      <c r="B56" s="59"/>
      <c r="C56" s="59"/>
      <c r="D56" s="59"/>
      <c r="E56" s="59"/>
      <c r="F56" s="59"/>
    </row>
    <row r="57" spans="1:6" x14ac:dyDescent="0.35">
      <c r="A57" s="59"/>
      <c r="B57" s="59"/>
      <c r="C57" s="59"/>
      <c r="D57" s="59"/>
      <c r="E57" s="59"/>
      <c r="F57" s="59"/>
    </row>
    <row r="58" spans="1:6" x14ac:dyDescent="0.35">
      <c r="A58" s="59"/>
      <c r="B58" s="59"/>
      <c r="C58" s="59"/>
      <c r="D58" s="59"/>
      <c r="E58" s="59"/>
      <c r="F58" s="59"/>
    </row>
    <row r="59" spans="1:6" x14ac:dyDescent="0.35">
      <c r="A59" s="59"/>
      <c r="B59" s="59"/>
      <c r="C59" s="59"/>
      <c r="D59" s="59"/>
      <c r="E59" s="59"/>
      <c r="F59" s="59"/>
    </row>
    <row r="60" spans="1:6" x14ac:dyDescent="0.35">
      <c r="A60" s="59"/>
      <c r="B60" s="59"/>
      <c r="C60" s="59"/>
      <c r="D60" s="59"/>
      <c r="E60" s="59"/>
      <c r="F60" s="59"/>
    </row>
    <row r="61" spans="1:6" x14ac:dyDescent="0.35">
      <c r="A61" s="59"/>
      <c r="B61" s="59"/>
      <c r="C61" s="59"/>
      <c r="D61" s="59"/>
      <c r="E61" s="59"/>
      <c r="F61" s="59"/>
    </row>
    <row r="62" spans="1:6" x14ac:dyDescent="0.35">
      <c r="B62" s="59"/>
      <c r="C62" s="59"/>
    </row>
    <row r="63" spans="1:6" x14ac:dyDescent="0.35">
      <c r="B63" s="59"/>
      <c r="C63" s="59"/>
    </row>
    <row r="64" spans="1:6" x14ac:dyDescent="0.35">
      <c r="B64" s="59"/>
      <c r="C64" s="59"/>
    </row>
    <row r="65" spans="2:3" x14ac:dyDescent="0.35">
      <c r="B65" s="59"/>
      <c r="C65" s="59"/>
    </row>
    <row r="66" spans="2:3" x14ac:dyDescent="0.35">
      <c r="B66" s="59"/>
      <c r="C66" s="59"/>
    </row>
  </sheetData>
  <mergeCells count="5">
    <mergeCell ref="A21:B21"/>
    <mergeCell ref="C21:D21"/>
    <mergeCell ref="E21:F21"/>
    <mergeCell ref="A11:D11"/>
    <mergeCell ref="A1:J1"/>
  </mergeCells>
  <conditionalFormatting sqref="A21:B29 A30:A61">
    <cfRule type="expression" dxfId="65" priority="12" stopIfTrue="1">
      <formula>$B$5=""</formula>
    </cfRule>
  </conditionalFormatting>
  <conditionalFormatting sqref="C21:D29 D30:D61">
    <cfRule type="expression" dxfId="64" priority="11" stopIfTrue="1">
      <formula>$C$5=""</formula>
    </cfRule>
  </conditionalFormatting>
  <conditionalFormatting sqref="E21:F61">
    <cfRule type="expression" dxfId="63" priority="10" stopIfTrue="1">
      <formula>$D$5=""</formula>
    </cfRule>
  </conditionalFormatting>
  <conditionalFormatting sqref="A22:F29 A30:A41 D30:F41">
    <cfRule type="cellIs" dxfId="62" priority="13" stopIfTrue="1" operator="equal">
      <formula>""</formula>
    </cfRule>
  </conditionalFormatting>
  <conditionalFormatting sqref="B30:C42">
    <cfRule type="expression" dxfId="61" priority="8" stopIfTrue="1">
      <formula>$D$5=""</formula>
    </cfRule>
  </conditionalFormatting>
  <conditionalFormatting sqref="B30:C42">
    <cfRule type="cellIs" dxfId="60" priority="9" stopIfTrue="1" operator="equal">
      <formula>""</formula>
    </cfRule>
  </conditionalFormatting>
  <conditionalFormatting sqref="B43:C66">
    <cfRule type="expression" dxfId="59" priority="7" stopIfTrue="1">
      <formula>$B$5=""</formula>
    </cfRule>
  </conditionalFormatting>
  <conditionalFormatting sqref="B5">
    <cfRule type="containsBlanks" dxfId="58" priority="6">
      <formula>LEN(TRIM(B5))=0</formula>
    </cfRule>
  </conditionalFormatting>
  <conditionalFormatting sqref="B7">
    <cfRule type="containsBlanks" dxfId="57" priority="5">
      <formula>LEN(TRIM(B7))=0</formula>
    </cfRule>
  </conditionalFormatting>
  <conditionalFormatting sqref="C5">
    <cfRule type="containsBlanks" dxfId="56" priority="4">
      <formula>LEN(TRIM(C5))=0</formula>
    </cfRule>
  </conditionalFormatting>
  <conditionalFormatting sqref="C7">
    <cfRule type="containsBlanks" dxfId="55" priority="3">
      <formula>LEN(TRIM(C7))=0</formula>
    </cfRule>
  </conditionalFormatting>
  <conditionalFormatting sqref="D5">
    <cfRule type="containsBlanks" dxfId="54" priority="2">
      <formula>LEN(TRIM(D5))=0</formula>
    </cfRule>
  </conditionalFormatting>
  <conditionalFormatting sqref="D7">
    <cfRule type="containsBlanks" dxfId="53" priority="1">
      <formula>LEN(TRIM(D7))=0</formula>
    </cfRule>
  </conditionalFormatting>
  <dataValidations count="4">
    <dataValidation type="list" showErrorMessage="1" sqref="B5:D5" xr:uid="{2B702AC1-DB81-469F-95A3-8AD37C6D435C}">
      <formula1>BuildingUsageTypes</formula1>
    </dataValidation>
    <dataValidation type="list" allowBlank="1" showErrorMessage="1" sqref="B6" xr:uid="{803FF106-CDF7-4A51-AEE0-B0EB000C2518}">
      <formula1>IF(B5="Hotel",HotelType,IF(B5="Restaurant",RestaurantType,IF(B5="Verkauf",ShopType,BuildingUsageSubTypes)))</formula1>
    </dataValidation>
    <dataValidation type="list" allowBlank="1" showErrorMessage="1" sqref="C6" xr:uid="{2C77902C-C9DA-4613-A83E-14DA1569B7DB}">
      <formula1>IF(C5="Hotel",HotelType,IF(C5="Restaurant",RestaurantType,IF(C5="Verkauf",ShopType,BuildingUsageSubTypes)))</formula1>
    </dataValidation>
    <dataValidation type="list" allowBlank="1" showErrorMessage="1" sqref="D6" xr:uid="{3D466CA8-3994-4915-93EC-DD47A694DBB8}">
      <formula1>IF(D5="Hotel",HotelType,IF(D5="Restaurant",RestaurantType,IF(D5="Verkauf",ShopType,BuildingUsageSubTypes)))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E4B3-E732-4147-A77D-23EF3D8D0258}">
  <dimension ref="A1:Q24"/>
  <sheetViews>
    <sheetView zoomScaleNormal="100" workbookViewId="0"/>
  </sheetViews>
  <sheetFormatPr defaultColWidth="9.1796875" defaultRowHeight="15" customHeight="1" x14ac:dyDescent="0.25"/>
  <cols>
    <col min="1" max="1" width="6.1796875" style="1" customWidth="1"/>
    <col min="2" max="2" width="29.54296875" style="3" customWidth="1"/>
    <col min="3" max="3" width="18.7265625" style="1" customWidth="1"/>
    <col min="4" max="4" width="11" style="1" customWidth="1"/>
    <col min="5" max="5" width="12.7265625" style="84" customWidth="1"/>
    <col min="6" max="6" width="14.81640625" style="1" customWidth="1"/>
    <col min="7" max="7" width="10.54296875" style="1" customWidth="1"/>
    <col min="8" max="8" width="10" style="1" customWidth="1"/>
    <col min="9" max="9" width="10.7265625" style="1" customWidth="1"/>
    <col min="10" max="10" width="14.26953125" style="1" customWidth="1"/>
    <col min="11" max="11" width="15.1796875" style="1" customWidth="1"/>
    <col min="12" max="12" width="15" style="1" customWidth="1"/>
    <col min="13" max="13" width="14.26953125" style="1" customWidth="1"/>
    <col min="14" max="14" width="15" style="1" customWidth="1"/>
    <col min="15" max="15" width="12" style="1" customWidth="1"/>
    <col min="16" max="16" width="20.81640625" style="1" customWidth="1"/>
    <col min="17" max="17" width="13.1796875" style="1" customWidth="1"/>
    <col min="18" max="16384" width="9.1796875" style="1"/>
  </cols>
  <sheetData>
    <row r="1" spans="1:17" ht="15" customHeight="1" thickBot="1" x14ac:dyDescent="0.3">
      <c r="A1" s="118" t="s">
        <v>102</v>
      </c>
      <c r="B1" s="91"/>
      <c r="C1" s="91"/>
      <c r="D1" s="91"/>
      <c r="E1" s="91"/>
      <c r="F1" s="91"/>
      <c r="G1" s="91"/>
      <c r="H1" s="91"/>
      <c r="I1" s="91"/>
      <c r="J1" s="91"/>
      <c r="K1" s="156"/>
      <c r="L1" s="156"/>
      <c r="M1" s="156"/>
      <c r="N1" s="156"/>
      <c r="O1" s="156"/>
      <c r="P1" s="156"/>
      <c r="Q1" s="156"/>
    </row>
    <row r="2" spans="1:17" ht="15" customHeight="1" x14ac:dyDescent="0.25">
      <c r="D2" s="4"/>
      <c r="E2" s="83"/>
      <c r="F2" s="21"/>
      <c r="G2" s="21"/>
      <c r="H2" s="21"/>
      <c r="I2" s="4"/>
    </row>
    <row r="3" spans="1:17" ht="15" customHeight="1" x14ac:dyDescent="0.25">
      <c r="A3" s="157" t="s">
        <v>103</v>
      </c>
      <c r="B3" s="158"/>
      <c r="C3" s="159"/>
      <c r="D3" s="160"/>
      <c r="E3" s="160"/>
      <c r="F3" s="161"/>
      <c r="G3" s="21"/>
      <c r="H3" s="21"/>
      <c r="I3" s="4"/>
    </row>
    <row r="4" spans="1:17" ht="15" customHeight="1" x14ac:dyDescent="0.25">
      <c r="C4" s="162" t="s">
        <v>104</v>
      </c>
      <c r="D4" s="163"/>
      <c r="E4" s="163"/>
      <c r="F4" s="163"/>
      <c r="G4" s="21"/>
      <c r="H4" s="168" t="s">
        <v>105</v>
      </c>
      <c r="I4" s="169"/>
      <c r="J4" s="169"/>
      <c r="K4" s="169"/>
    </row>
    <row r="5" spans="1:17" ht="33" customHeight="1" x14ac:dyDescent="0.25">
      <c r="A5" s="164" t="s">
        <v>342</v>
      </c>
      <c r="B5" s="165"/>
      <c r="C5" s="166"/>
      <c r="D5" s="166"/>
      <c r="E5" s="166"/>
      <c r="F5" s="166"/>
      <c r="G5" s="39"/>
      <c r="H5" s="167"/>
      <c r="I5" s="167"/>
      <c r="J5" s="167"/>
      <c r="K5" s="167"/>
    </row>
    <row r="6" spans="1:17" ht="15" customHeight="1" x14ac:dyDescent="0.25">
      <c r="A6" s="157" t="s">
        <v>193</v>
      </c>
      <c r="B6" s="172"/>
      <c r="C6" s="166"/>
      <c r="D6" s="166"/>
      <c r="E6" s="166"/>
      <c r="F6" s="166"/>
      <c r="G6" s="39"/>
      <c r="H6" s="167"/>
      <c r="I6" s="167"/>
      <c r="J6" s="167"/>
      <c r="K6" s="167"/>
    </row>
    <row r="7" spans="1:17" ht="62.25" customHeight="1" x14ac:dyDescent="0.25">
      <c r="A7" s="170" t="s">
        <v>18</v>
      </c>
      <c r="B7" s="171"/>
      <c r="C7" s="166"/>
      <c r="D7" s="166"/>
      <c r="E7" s="166"/>
      <c r="F7" s="166"/>
      <c r="G7" s="39"/>
      <c r="H7" s="167"/>
      <c r="I7" s="167"/>
      <c r="J7" s="167"/>
      <c r="K7" s="167"/>
    </row>
    <row r="8" spans="1:17" ht="62.25" customHeight="1" x14ac:dyDescent="0.25">
      <c r="A8" s="170" t="s">
        <v>91</v>
      </c>
      <c r="B8" s="171"/>
      <c r="C8" s="166"/>
      <c r="D8" s="166"/>
      <c r="E8" s="166"/>
      <c r="F8" s="166"/>
      <c r="G8" s="39"/>
      <c r="H8" s="167"/>
      <c r="I8" s="167"/>
      <c r="J8" s="167"/>
      <c r="K8" s="167"/>
    </row>
    <row r="9" spans="1:17" ht="34.5" customHeight="1" x14ac:dyDescent="0.25">
      <c r="D9" s="4"/>
      <c r="E9" s="83"/>
      <c r="F9" s="21"/>
      <c r="G9" s="21"/>
      <c r="H9" s="21"/>
      <c r="I9" s="4"/>
    </row>
    <row r="10" spans="1:17" ht="34.5" customHeight="1" x14ac:dyDescent="0.25">
      <c r="A10" s="119" t="s">
        <v>16</v>
      </c>
      <c r="B10" s="119" t="s">
        <v>27</v>
      </c>
      <c r="C10" s="119" t="s">
        <v>21</v>
      </c>
      <c r="D10" s="119" t="s">
        <v>19</v>
      </c>
      <c r="E10" s="120" t="s">
        <v>348</v>
      </c>
      <c r="F10" s="119" t="s">
        <v>162</v>
      </c>
      <c r="G10" s="119" t="s">
        <v>349</v>
      </c>
      <c r="H10" s="119" t="s">
        <v>120</v>
      </c>
      <c r="I10" s="119" t="s">
        <v>119</v>
      </c>
      <c r="J10" s="119" t="s">
        <v>96</v>
      </c>
      <c r="K10" s="121" t="s">
        <v>350</v>
      </c>
      <c r="L10" s="119" t="s">
        <v>351</v>
      </c>
      <c r="M10" s="119" t="s">
        <v>99</v>
      </c>
      <c r="N10" s="119" t="s">
        <v>204</v>
      </c>
      <c r="O10" s="119" t="s">
        <v>205</v>
      </c>
      <c r="P10" s="119" t="s">
        <v>196</v>
      </c>
      <c r="Q10" s="119" t="s">
        <v>197</v>
      </c>
    </row>
    <row r="11" spans="1:17" ht="15" customHeight="1" x14ac:dyDescent="0.25">
      <c r="D11" s="4"/>
      <c r="F11" s="5"/>
      <c r="G11" s="21"/>
      <c r="H11" s="21"/>
      <c r="I11" s="4"/>
    </row>
    <row r="12" spans="1:17" ht="15" customHeight="1" x14ac:dyDescent="0.25">
      <c r="D12" s="4"/>
      <c r="F12" s="5"/>
      <c r="G12" s="21"/>
      <c r="H12" s="21"/>
      <c r="I12" s="4"/>
    </row>
    <row r="13" spans="1:17" ht="15" customHeight="1" x14ac:dyDescent="0.25">
      <c r="D13" s="4"/>
      <c r="F13" s="5"/>
      <c r="G13" s="21"/>
      <c r="H13" s="21"/>
      <c r="I13" s="4"/>
    </row>
    <row r="14" spans="1:17" ht="15" customHeight="1" x14ac:dyDescent="0.25">
      <c r="D14" s="4"/>
      <c r="F14" s="5"/>
      <c r="G14" s="21"/>
      <c r="H14" s="21"/>
      <c r="I14" s="4"/>
    </row>
    <row r="15" spans="1:17" ht="15" customHeight="1" x14ac:dyDescent="0.25">
      <c r="D15" s="4"/>
      <c r="F15" s="5"/>
      <c r="G15" s="21"/>
      <c r="H15" s="21"/>
      <c r="I15" s="4"/>
    </row>
    <row r="16" spans="1:17" ht="15" customHeight="1" x14ac:dyDescent="0.25">
      <c r="D16" s="4"/>
      <c r="F16" s="5"/>
      <c r="G16" s="21"/>
      <c r="H16" s="21"/>
      <c r="I16" s="4"/>
    </row>
    <row r="17" spans="4:9" ht="15" customHeight="1" x14ac:dyDescent="0.25">
      <c r="D17" s="4"/>
      <c r="F17" s="5"/>
      <c r="G17" s="21"/>
      <c r="H17" s="21"/>
      <c r="I17" s="4"/>
    </row>
    <row r="18" spans="4:9" ht="15" customHeight="1" x14ac:dyDescent="0.25">
      <c r="D18" s="4"/>
      <c r="F18" s="5"/>
      <c r="G18" s="21"/>
      <c r="H18" s="21"/>
      <c r="I18" s="4"/>
    </row>
    <row r="19" spans="4:9" ht="15" customHeight="1" x14ac:dyDescent="0.25">
      <c r="D19" s="4"/>
      <c r="F19" s="5"/>
      <c r="G19" s="21"/>
      <c r="H19" s="21"/>
      <c r="I19" s="4"/>
    </row>
    <row r="20" spans="4:9" ht="15" customHeight="1" x14ac:dyDescent="0.25">
      <c r="D20" s="4"/>
      <c r="F20" s="5"/>
      <c r="G20" s="21"/>
      <c r="H20" s="21"/>
      <c r="I20" s="4"/>
    </row>
    <row r="21" spans="4:9" ht="15" customHeight="1" x14ac:dyDescent="0.25">
      <c r="D21" s="4"/>
      <c r="F21" s="5"/>
      <c r="G21" s="21"/>
      <c r="H21" s="21"/>
      <c r="I21" s="4"/>
    </row>
    <row r="22" spans="4:9" ht="15" customHeight="1" x14ac:dyDescent="0.25">
      <c r="D22" s="4"/>
      <c r="F22" s="5"/>
      <c r="G22" s="21"/>
      <c r="H22" s="21"/>
      <c r="I22" s="4"/>
    </row>
    <row r="23" spans="4:9" ht="15" customHeight="1" x14ac:dyDescent="0.25">
      <c r="D23" s="4"/>
      <c r="F23" s="5"/>
      <c r="G23" s="21"/>
      <c r="H23" s="21"/>
      <c r="I23" s="4"/>
    </row>
    <row r="24" spans="4:9" ht="15" customHeight="1" x14ac:dyDescent="0.25">
      <c r="D24" s="4"/>
      <c r="F24" s="5"/>
      <c r="G24" s="21"/>
      <c r="H24" s="21"/>
      <c r="I24" s="4"/>
    </row>
  </sheetData>
  <mergeCells count="17">
    <mergeCell ref="A8:B8"/>
    <mergeCell ref="C8:F8"/>
    <mergeCell ref="H8:K8"/>
    <mergeCell ref="A6:B6"/>
    <mergeCell ref="C6:F6"/>
    <mergeCell ref="H6:K6"/>
    <mergeCell ref="A7:B7"/>
    <mergeCell ref="C7:F7"/>
    <mergeCell ref="H7:K7"/>
    <mergeCell ref="K1:Q1"/>
    <mergeCell ref="A3:B3"/>
    <mergeCell ref="C3:F3"/>
    <mergeCell ref="C4:F4"/>
    <mergeCell ref="A5:B5"/>
    <mergeCell ref="C5:F5"/>
    <mergeCell ref="H5:K5"/>
    <mergeCell ref="H4:K4"/>
  </mergeCells>
  <conditionalFormatting sqref="C3">
    <cfRule type="containsBlanks" dxfId="52" priority="7">
      <formula>LEN(TRIM(C3))=0</formula>
    </cfRule>
  </conditionalFormatting>
  <conditionalFormatting sqref="C4">
    <cfRule type="containsBlanks" dxfId="51" priority="6">
      <formula>LEN(TRIM(C4))=0</formula>
    </cfRule>
  </conditionalFormatting>
  <conditionalFormatting sqref="H4">
    <cfRule type="containsBlanks" dxfId="50" priority="5">
      <formula>LEN(TRIM(H4))=0</formula>
    </cfRule>
  </conditionalFormatting>
  <conditionalFormatting sqref="C5">
    <cfRule type="containsBlanks" dxfId="49" priority="4">
      <formula>LEN(TRIM(C5))=0</formula>
    </cfRule>
  </conditionalFormatting>
  <conditionalFormatting sqref="H5">
    <cfRule type="containsBlanks" dxfId="48" priority="3">
      <formula>LEN(TRIM(H5))=0</formula>
    </cfRule>
  </conditionalFormatting>
  <conditionalFormatting sqref="A11:D110 F11:I110">
    <cfRule type="expression" dxfId="47" priority="2">
      <formula>AND(COUNTA($A11:$Q11)&gt;0,ISBLANK(A11))</formula>
    </cfRule>
  </conditionalFormatting>
  <conditionalFormatting sqref="A11:D110 F11:I110">
    <cfRule type="expression" dxfId="46" priority="1">
      <formula>AND(COUNTA($A11:$Q11)&gt;0,ISBLANK(A11))</formula>
    </cfRule>
  </conditionalFormatting>
  <dataValidations count="15">
    <dataValidation type="list" showErrorMessage="1" sqref="C3" xr:uid="{3D9B8AA0-F635-4297-9C6C-5960CCAC9D8A}">
      <formula1>RoofType</formula1>
    </dataValidation>
    <dataValidation type="list" showErrorMessage="1" sqref="C5" xr:uid="{52D6DDCC-8D39-4A2C-817B-C5412D92C60A}">
      <formula1>GeneralCondition</formula1>
    </dataValidation>
    <dataValidation type="list" showErrorMessage="1" sqref="H5" xr:uid="{431B9A62-0D91-4C9B-B946-40E7BB697F3C}">
      <formula1>GeneralCondition</formula1>
    </dataValidation>
    <dataValidation type="list" allowBlank="1" showErrorMessage="1" sqref="C6" xr:uid="{14B6459A-299E-4ABB-949E-0F6425370BBF}">
      <formula1>Prioritization</formula1>
    </dataValidation>
    <dataValidation type="list" allowBlank="1" showErrorMessage="1" sqref="H6" xr:uid="{09FB898C-0671-4648-94DB-89D81815BDF5}">
      <formula1>Prioritization</formula1>
    </dataValidation>
    <dataValidation type="textLength" operator="lessThanOrEqual" allowBlank="1" showInputMessage="1" showErrorMessage="1" prompt="Max. 1000 Zeichen." sqref="C7" xr:uid="{6C0AEADA-ECC4-41B5-B6CB-046ACFEC20D7}">
      <formula1>1000</formula1>
    </dataValidation>
    <dataValidation type="textLength" operator="lessThanOrEqual" allowBlank="1" showInputMessage="1" showErrorMessage="1" prompt="Max. 1000 Zeichen." sqref="H7" xr:uid="{5FD4E7B8-47EC-4A15-9BC9-96AEB1245109}">
      <formula1>1000</formula1>
    </dataValidation>
    <dataValidation type="textLength" operator="lessThanOrEqual" allowBlank="1" showInputMessage="1" showErrorMessage="1" prompt="Max. 1000 Zeichen." sqref="C8" xr:uid="{F6608B97-D306-4FED-8E7F-5C43D16FD79A}">
      <formula1>1000</formula1>
    </dataValidation>
    <dataValidation type="textLength" operator="lessThanOrEqual" allowBlank="1" showInputMessage="1" showErrorMessage="1" prompt="Max. 1000 Zeichen." sqref="H8" xr:uid="{C55054A0-8EFE-430A-8A7F-3958BB687296}">
      <formula1>1000</formula1>
    </dataValidation>
    <dataValidation type="list" showInputMessage="1" prompt="Max. 5 Zeichen." sqref="A11:A110" xr:uid="{3A7D0125-B4C3-485F-A162-D30F5BAFEDD3}">
      <formula1>WS2ExpertCodes</formula1>
    </dataValidation>
    <dataValidation type="list" showInputMessage="1" showErrorMessage="1" prompt="Max. 5 Zeichen." sqref="J11:J110" xr:uid="{622D5E63-DF79-45EF-8ED5-DC7438AC869D}">
      <formula1>HeaterExpertCodes</formula1>
    </dataValidation>
    <dataValidation type="list" showErrorMessage="1" sqref="C11:C110" xr:uid="{82FC2ED8-C827-4023-AE60-CB0F5AA06E90}">
      <formula1>RoofCeilingType</formula1>
    </dataValidation>
    <dataValidation type="list" showErrorMessage="1" sqref="D11:D110" xr:uid="{C86A33AA-0507-4D91-890D-4636DF53DD11}">
      <formula1>OrientationHExtended</formula1>
    </dataValidation>
    <dataValidation type="list" allowBlank="1" showErrorMessage="1" sqref="P11:P110" xr:uid="{C30CFEE4-FE05-490D-BE61-D8F548AF64C8}">
      <formula1>CalculationBase_NoMeter</formula1>
    </dataValidation>
    <dataValidation type="textLength" operator="lessThanOrEqual" allowBlank="1" showInputMessage="1" showErrorMessage="1" prompt="Max. 250 Zeichen." sqref="B11:B111" xr:uid="{4EFE8A01-9789-44FF-AE8A-30961491F310}">
      <formula1>250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33B5-0781-48BC-A265-9EE4AEF9539B}">
  <sheetPr codeName="Sheet2"/>
  <dimension ref="A1:Q24"/>
  <sheetViews>
    <sheetView zoomScaleNormal="100" workbookViewId="0"/>
  </sheetViews>
  <sheetFormatPr defaultColWidth="9.1796875" defaultRowHeight="15" customHeight="1" x14ac:dyDescent="0.25"/>
  <cols>
    <col min="1" max="1" width="6.1796875" style="1" customWidth="1"/>
    <col min="2" max="2" width="29.54296875" style="3" customWidth="1"/>
    <col min="3" max="3" width="18.7265625" style="1" customWidth="1"/>
    <col min="4" max="4" width="11" style="1" customWidth="1"/>
    <col min="5" max="5" width="12.7265625" style="83" customWidth="1"/>
    <col min="6" max="6" width="14.81640625" style="1" customWidth="1"/>
    <col min="7" max="7" width="10.54296875" style="1" customWidth="1"/>
    <col min="8" max="8" width="10" style="1" customWidth="1"/>
    <col min="9" max="9" width="10.7265625" style="1" customWidth="1"/>
    <col min="10" max="10" width="14.26953125" style="1" customWidth="1"/>
    <col min="11" max="11" width="15.1796875" style="1" customWidth="1"/>
    <col min="12" max="12" width="15" style="1" customWidth="1"/>
    <col min="13" max="13" width="14.26953125" style="1" customWidth="1"/>
    <col min="14" max="14" width="15" style="1" customWidth="1"/>
    <col min="15" max="15" width="11.26953125" style="1" customWidth="1"/>
    <col min="16" max="16" width="20.54296875" style="1" customWidth="1"/>
    <col min="17" max="17" width="13.7265625" style="1" customWidth="1"/>
    <col min="18" max="16384" width="9.1796875" style="1"/>
  </cols>
  <sheetData>
    <row r="1" spans="1:17" ht="15" customHeight="1" thickBot="1" x14ac:dyDescent="0.3">
      <c r="A1" s="118" t="s">
        <v>87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9"/>
      <c r="M1" s="89"/>
      <c r="N1" s="89"/>
      <c r="O1" s="89"/>
      <c r="P1" s="89"/>
      <c r="Q1" s="89"/>
    </row>
    <row r="2" spans="1:17" ht="15" customHeight="1" x14ac:dyDescent="0.25">
      <c r="D2" s="4"/>
      <c r="F2" s="21"/>
      <c r="G2" s="21"/>
      <c r="H2" s="21"/>
      <c r="I2" s="4"/>
    </row>
    <row r="3" spans="1:17" ht="15" customHeight="1" x14ac:dyDescent="0.25">
      <c r="A3" s="157" t="s">
        <v>12</v>
      </c>
      <c r="B3" s="158"/>
      <c r="C3" s="159"/>
      <c r="D3" s="160"/>
      <c r="E3" s="160"/>
      <c r="F3" s="161"/>
      <c r="G3" s="21"/>
      <c r="H3" s="21"/>
      <c r="I3" s="4"/>
    </row>
    <row r="4" spans="1:17" ht="15" customHeight="1" x14ac:dyDescent="0.25">
      <c r="C4" s="162" t="s">
        <v>88</v>
      </c>
      <c r="D4" s="163"/>
      <c r="E4" s="163"/>
      <c r="F4" s="163"/>
      <c r="G4" s="21"/>
      <c r="H4" s="168" t="s">
        <v>89</v>
      </c>
      <c r="I4" s="169"/>
      <c r="J4" s="169"/>
      <c r="K4" s="169"/>
    </row>
    <row r="5" spans="1:17" ht="33" customHeight="1" x14ac:dyDescent="0.25">
      <c r="A5" s="164" t="s">
        <v>342</v>
      </c>
      <c r="B5" s="165"/>
      <c r="C5" s="166"/>
      <c r="D5" s="166"/>
      <c r="E5" s="166"/>
      <c r="F5" s="166"/>
      <c r="G5" s="39"/>
      <c r="H5" s="173"/>
      <c r="I5" s="174"/>
      <c r="J5" s="174"/>
      <c r="K5" s="175"/>
    </row>
    <row r="6" spans="1:17" ht="15" customHeight="1" x14ac:dyDescent="0.25">
      <c r="A6" s="157" t="s">
        <v>193</v>
      </c>
      <c r="B6" s="172"/>
      <c r="C6" s="166"/>
      <c r="D6" s="166"/>
      <c r="E6" s="166"/>
      <c r="F6" s="166"/>
      <c r="G6" s="39"/>
      <c r="H6" s="173"/>
      <c r="I6" s="174"/>
      <c r="J6" s="174"/>
      <c r="K6" s="175"/>
    </row>
    <row r="7" spans="1:17" ht="62.25" customHeight="1" x14ac:dyDescent="0.25">
      <c r="A7" s="170" t="s">
        <v>18</v>
      </c>
      <c r="B7" s="176"/>
      <c r="C7" s="166"/>
      <c r="D7" s="166"/>
      <c r="E7" s="166"/>
      <c r="F7" s="166"/>
      <c r="G7" s="39"/>
      <c r="H7" s="173"/>
      <c r="I7" s="174"/>
      <c r="J7" s="174"/>
      <c r="K7" s="175"/>
    </row>
    <row r="8" spans="1:17" ht="62.25" customHeight="1" x14ac:dyDescent="0.25">
      <c r="A8" s="170" t="s">
        <v>91</v>
      </c>
      <c r="B8" s="171"/>
      <c r="C8" s="166"/>
      <c r="D8" s="166"/>
      <c r="E8" s="166"/>
      <c r="F8" s="166"/>
      <c r="G8" s="39"/>
      <c r="H8" s="173"/>
      <c r="I8" s="174"/>
      <c r="J8" s="174"/>
      <c r="K8" s="175"/>
    </row>
    <row r="9" spans="1:17" ht="25.5" customHeight="1" x14ac:dyDescent="0.25">
      <c r="D9" s="4"/>
      <c r="F9" s="21"/>
      <c r="G9" s="21"/>
      <c r="H9" s="21"/>
      <c r="I9" s="4"/>
    </row>
    <row r="10" spans="1:17" ht="34.5" customHeight="1" x14ac:dyDescent="0.25">
      <c r="A10" s="119" t="s">
        <v>16</v>
      </c>
      <c r="B10" s="119" t="s">
        <v>27</v>
      </c>
      <c r="C10" s="119" t="s">
        <v>21</v>
      </c>
      <c r="D10" s="119" t="s">
        <v>19</v>
      </c>
      <c r="E10" s="120" t="s">
        <v>348</v>
      </c>
      <c r="F10" s="119" t="s">
        <v>162</v>
      </c>
      <c r="G10" s="119" t="s">
        <v>349</v>
      </c>
      <c r="H10" s="119" t="s">
        <v>120</v>
      </c>
      <c r="I10" s="119" t="s">
        <v>119</v>
      </c>
      <c r="J10" s="119" t="s">
        <v>96</v>
      </c>
      <c r="K10" s="121" t="s">
        <v>350</v>
      </c>
      <c r="L10" s="119" t="s">
        <v>351</v>
      </c>
      <c r="M10" s="119" t="s">
        <v>99</v>
      </c>
      <c r="N10" s="119" t="s">
        <v>204</v>
      </c>
      <c r="O10" s="119" t="s">
        <v>205</v>
      </c>
      <c r="P10" s="119" t="s">
        <v>196</v>
      </c>
      <c r="Q10" s="119" t="s">
        <v>197</v>
      </c>
    </row>
    <row r="11" spans="1:17" ht="15" customHeight="1" x14ac:dyDescent="0.25">
      <c r="D11" s="4"/>
      <c r="E11" s="84"/>
      <c r="F11" s="5"/>
      <c r="G11" s="21"/>
      <c r="H11" s="21"/>
      <c r="I11" s="4"/>
    </row>
    <row r="12" spans="1:17" ht="15" customHeight="1" x14ac:dyDescent="0.25">
      <c r="D12" s="4"/>
      <c r="E12" s="84"/>
      <c r="F12" s="5"/>
      <c r="G12" s="21"/>
      <c r="H12" s="21"/>
      <c r="I12" s="4"/>
    </row>
    <row r="13" spans="1:17" ht="15" customHeight="1" x14ac:dyDescent="0.25">
      <c r="D13" s="4"/>
      <c r="E13" s="84"/>
      <c r="F13" s="5"/>
      <c r="G13" s="21"/>
      <c r="H13" s="21"/>
      <c r="I13" s="4"/>
    </row>
    <row r="14" spans="1:17" ht="15" customHeight="1" x14ac:dyDescent="0.25">
      <c r="D14" s="4"/>
      <c r="E14" s="84"/>
      <c r="F14" s="5"/>
      <c r="G14" s="21"/>
      <c r="H14" s="21"/>
      <c r="I14" s="4"/>
    </row>
    <row r="15" spans="1:17" ht="15" customHeight="1" x14ac:dyDescent="0.25">
      <c r="D15" s="4"/>
      <c r="E15" s="84"/>
      <c r="F15" s="5"/>
      <c r="G15" s="21"/>
      <c r="H15" s="21"/>
      <c r="I15" s="4"/>
    </row>
    <row r="16" spans="1:17" ht="15" customHeight="1" x14ac:dyDescent="0.25">
      <c r="D16" s="4"/>
      <c r="E16" s="84"/>
      <c r="F16" s="5"/>
      <c r="G16" s="21"/>
      <c r="H16" s="21"/>
      <c r="I16" s="4"/>
    </row>
    <row r="17" spans="4:9" ht="15" customHeight="1" x14ac:dyDescent="0.25">
      <c r="D17" s="4"/>
      <c r="E17" s="84"/>
      <c r="F17" s="5"/>
      <c r="G17" s="21"/>
      <c r="H17" s="21"/>
      <c r="I17" s="4"/>
    </row>
    <row r="18" spans="4:9" ht="15" customHeight="1" x14ac:dyDescent="0.25">
      <c r="D18" s="4"/>
      <c r="E18" s="84"/>
      <c r="F18" s="5"/>
      <c r="G18" s="21"/>
      <c r="H18" s="21"/>
      <c r="I18" s="4"/>
    </row>
    <row r="19" spans="4:9" ht="15" customHeight="1" x14ac:dyDescent="0.25">
      <c r="D19" s="4"/>
      <c r="E19" s="84"/>
      <c r="F19" s="5"/>
      <c r="G19" s="21"/>
      <c r="H19" s="21"/>
      <c r="I19" s="4"/>
    </row>
    <row r="20" spans="4:9" ht="15" customHeight="1" x14ac:dyDescent="0.25">
      <c r="D20" s="4"/>
      <c r="E20" s="84"/>
      <c r="F20" s="5"/>
      <c r="G20" s="21"/>
      <c r="H20" s="21"/>
      <c r="I20" s="4"/>
    </row>
    <row r="21" spans="4:9" ht="15" customHeight="1" x14ac:dyDescent="0.25">
      <c r="D21" s="4"/>
      <c r="E21" s="84"/>
      <c r="F21" s="5"/>
      <c r="G21" s="21"/>
      <c r="H21" s="21"/>
      <c r="I21" s="4"/>
    </row>
    <row r="22" spans="4:9" ht="15" customHeight="1" x14ac:dyDescent="0.25">
      <c r="D22" s="4"/>
      <c r="E22" s="84"/>
      <c r="F22" s="5"/>
      <c r="G22" s="21"/>
      <c r="H22" s="21"/>
      <c r="I22" s="4"/>
    </row>
    <row r="23" spans="4:9" ht="15" customHeight="1" x14ac:dyDescent="0.25">
      <c r="D23" s="4"/>
      <c r="E23" s="84"/>
      <c r="F23" s="5"/>
      <c r="G23" s="21"/>
      <c r="H23" s="21"/>
      <c r="I23" s="4"/>
    </row>
    <row r="24" spans="4:9" ht="15" customHeight="1" x14ac:dyDescent="0.25">
      <c r="D24" s="4"/>
      <c r="E24" s="84"/>
      <c r="F24" s="5"/>
      <c r="G24" s="21"/>
      <c r="H24" s="21"/>
      <c r="I24" s="4"/>
    </row>
  </sheetData>
  <mergeCells count="16">
    <mergeCell ref="A5:B5"/>
    <mergeCell ref="A6:B6"/>
    <mergeCell ref="A7:B7"/>
    <mergeCell ref="A8:B8"/>
    <mergeCell ref="A3:B3"/>
    <mergeCell ref="C3:F3"/>
    <mergeCell ref="C4:F4"/>
    <mergeCell ref="H5:K5"/>
    <mergeCell ref="H6:K6"/>
    <mergeCell ref="H4:K4"/>
    <mergeCell ref="H7:K7"/>
    <mergeCell ref="H8:K8"/>
    <mergeCell ref="C5:F5"/>
    <mergeCell ref="C6:F6"/>
    <mergeCell ref="C7:F7"/>
    <mergeCell ref="C8:F8"/>
  </mergeCells>
  <conditionalFormatting sqref="C3">
    <cfRule type="containsBlanks" dxfId="45" priority="7">
      <formula>LEN(TRIM(C3))=0</formula>
    </cfRule>
  </conditionalFormatting>
  <conditionalFormatting sqref="C4">
    <cfRule type="containsBlanks" dxfId="44" priority="6">
      <formula>LEN(TRIM(C4))=0</formula>
    </cfRule>
  </conditionalFormatting>
  <conditionalFormatting sqref="H4">
    <cfRule type="containsBlanks" dxfId="43" priority="5">
      <formula>LEN(TRIM(H4))=0</formula>
    </cfRule>
  </conditionalFormatting>
  <conditionalFormatting sqref="C5">
    <cfRule type="containsBlanks" dxfId="42" priority="4">
      <formula>LEN(TRIM(C5))=0</formula>
    </cfRule>
  </conditionalFormatting>
  <conditionalFormatting sqref="H5">
    <cfRule type="containsBlanks" dxfId="41" priority="3">
      <formula>LEN(TRIM(H5))=0</formula>
    </cfRule>
  </conditionalFormatting>
  <conditionalFormatting sqref="A11:D110 F11:I110">
    <cfRule type="expression" dxfId="40" priority="2">
      <formula>AND(COUNTA($A11:$Q11)&gt;0,ISBLANK(A11))</formula>
    </cfRule>
  </conditionalFormatting>
  <conditionalFormatting sqref="A11:D110 F11:I110">
    <cfRule type="expression" dxfId="39" priority="1">
      <formula>AND(COUNTA($A11:$Q11)&gt;0,ISBLANK(A11))</formula>
    </cfRule>
  </conditionalFormatting>
  <dataValidations count="15">
    <dataValidation type="list" showErrorMessage="1" sqref="C3" xr:uid="{35ECC6B6-96BE-4F52-A631-76663FE14EAD}">
      <formula1>FacadeStructure</formula1>
    </dataValidation>
    <dataValidation type="list" showErrorMessage="1" sqref="C5" xr:uid="{95D29AA0-2EB8-431E-802B-C26B4EAF32F3}">
      <formula1>GeneralCondition</formula1>
    </dataValidation>
    <dataValidation type="list" showErrorMessage="1" sqref="H5" xr:uid="{8AB76576-8F25-4B07-A313-A5C213D6AF47}">
      <formula1>GeneralCondition</formula1>
    </dataValidation>
    <dataValidation type="list" allowBlank="1" showErrorMessage="1" sqref="C6" xr:uid="{C4660D5C-BF7D-4311-8726-C4C66ACA26E8}">
      <formula1>Prioritization</formula1>
    </dataValidation>
    <dataValidation type="list" allowBlank="1" showErrorMessage="1" sqref="H6" xr:uid="{BBC5C35F-B02C-4A5C-8543-57BBDB8FADDA}">
      <formula1>Prioritization</formula1>
    </dataValidation>
    <dataValidation type="textLength" operator="lessThanOrEqual" allowBlank="1" showInputMessage="1" showErrorMessage="1" prompt="Max. 1000 Zeichen." sqref="C7" xr:uid="{AACDAF90-51B8-4C5D-9C8E-685C7E808114}">
      <formula1>1000</formula1>
    </dataValidation>
    <dataValidation type="textLength" operator="lessThanOrEqual" allowBlank="1" showInputMessage="1" showErrorMessage="1" prompt="Max. 1000 Zeichen." sqref="H7" xr:uid="{EA9C0B8D-822F-460D-B2E7-1A8BADC7A258}">
      <formula1>1000</formula1>
    </dataValidation>
    <dataValidation type="textLength" operator="lessThanOrEqual" allowBlank="1" showInputMessage="1" showErrorMessage="1" prompt="Max. 1000 Zeichen." sqref="C8" xr:uid="{21D67635-EBB1-46F8-8EBB-5F49350B0F2F}">
      <formula1>1000</formula1>
    </dataValidation>
    <dataValidation type="textLength" operator="lessThanOrEqual" allowBlank="1" showInputMessage="1" showErrorMessage="1" prompt="Max. 1000 Zeichen." sqref="H8" xr:uid="{C315905B-5139-4418-8522-C87AF0F7C66A}">
      <formula1>1000</formula1>
    </dataValidation>
    <dataValidation type="list" showInputMessage="1" prompt="Max. 5 Zeichen." sqref="A11:A110" xr:uid="{851DD751-AB39-4F11-A7E1-98BAF0F03872}">
      <formula1>WS3ExpertCodes</formula1>
    </dataValidation>
    <dataValidation type="list" showInputMessage="1" showErrorMessage="1" prompt="Max. 5 Zeichen." sqref="J11:J110" xr:uid="{9B69638B-310A-4A1B-BF9D-1F5E13C8B69C}">
      <formula1>HeaterExpertCodes</formula1>
    </dataValidation>
    <dataValidation type="textLength" operator="lessThanOrEqual" allowBlank="1" showInputMessage="1" showErrorMessage="1" prompt="Max. 250 Zeichen." sqref="B11:B111" xr:uid="{7AF732AA-F313-4500-B77E-BF7719064244}">
      <formula1>250</formula1>
    </dataValidation>
    <dataValidation type="list" showErrorMessage="1" sqref="C11:C110" xr:uid="{2936D075-48A3-4544-8541-1D4649D6ABFA}">
      <formula1>WallType</formula1>
    </dataValidation>
    <dataValidation type="list" allowBlank="1" showErrorMessage="1" sqref="D11:D110" xr:uid="{26F05D50-9FAF-462B-A644-720A6F105C5F}">
      <formula1>Orientation</formula1>
    </dataValidation>
    <dataValidation type="list" allowBlank="1" showErrorMessage="1" sqref="P11:P110" xr:uid="{2D997377-854E-4B64-B753-C674A956CC89}">
      <formula1>CalculationBase_NoMeter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52BB-AC38-45E0-A3B1-FFDE382D0585}">
  <dimension ref="A1:T24"/>
  <sheetViews>
    <sheetView zoomScaleNormal="100" workbookViewId="0"/>
  </sheetViews>
  <sheetFormatPr defaultColWidth="9.1796875" defaultRowHeight="15" customHeight="1" x14ac:dyDescent="0.25"/>
  <cols>
    <col min="1" max="1" width="6.1796875" style="1" customWidth="1"/>
    <col min="2" max="2" width="29.54296875" style="3" customWidth="1"/>
    <col min="3" max="3" width="18.7265625" style="1" customWidth="1"/>
    <col min="4" max="4" width="11" style="1" customWidth="1"/>
    <col min="5" max="5" width="15.26953125" style="1" customWidth="1"/>
    <col min="6" max="6" width="14.81640625" style="1" customWidth="1"/>
    <col min="7" max="7" width="10.54296875" style="1" customWidth="1"/>
    <col min="8" max="8" width="10" style="1" customWidth="1"/>
    <col min="9" max="9" width="10.7265625" style="1" customWidth="1"/>
    <col min="10" max="10" width="11.81640625" style="1" customWidth="1"/>
    <col min="11" max="11" width="15.1796875" style="1" customWidth="1"/>
    <col min="12" max="12" width="15" style="1" customWidth="1"/>
    <col min="13" max="14" width="14.26953125" style="1" customWidth="1"/>
    <col min="15" max="17" width="16.7265625" style="1" customWidth="1"/>
    <col min="18" max="18" width="11" style="1" customWidth="1"/>
    <col min="19" max="19" width="21" style="1" customWidth="1"/>
    <col min="20" max="20" width="14" style="1" customWidth="1"/>
    <col min="21" max="16384" width="9.1796875" style="1"/>
  </cols>
  <sheetData>
    <row r="1" spans="1:20" ht="15" customHeight="1" thickBot="1" x14ac:dyDescent="0.3">
      <c r="A1" s="118" t="s">
        <v>106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0" ht="15" customHeight="1" x14ac:dyDescent="0.25">
      <c r="D2" s="4"/>
      <c r="E2" s="4"/>
      <c r="F2" s="21"/>
      <c r="G2" s="21"/>
      <c r="H2" s="21"/>
      <c r="I2" s="4"/>
    </row>
    <row r="3" spans="1:20" ht="33" customHeight="1" x14ac:dyDescent="0.25">
      <c r="A3" s="164" t="s">
        <v>342</v>
      </c>
      <c r="B3" s="165"/>
      <c r="C3" s="166"/>
      <c r="D3" s="166"/>
      <c r="E3" s="166"/>
      <c r="F3" s="166"/>
      <c r="G3" s="21"/>
    </row>
    <row r="4" spans="1:20" ht="15" customHeight="1" x14ac:dyDescent="0.25">
      <c r="A4" s="157" t="s">
        <v>193</v>
      </c>
      <c r="B4" s="172"/>
      <c r="C4" s="166"/>
      <c r="D4" s="166"/>
      <c r="E4" s="166"/>
      <c r="F4" s="166"/>
      <c r="G4" s="21"/>
    </row>
    <row r="5" spans="1:20" ht="62.25" customHeight="1" x14ac:dyDescent="0.25">
      <c r="A5" s="170" t="s">
        <v>18</v>
      </c>
      <c r="B5" s="171"/>
      <c r="C5" s="166"/>
      <c r="D5" s="166"/>
      <c r="E5" s="166"/>
      <c r="F5" s="166"/>
      <c r="G5" s="21"/>
    </row>
    <row r="6" spans="1:20" ht="62.25" customHeight="1" x14ac:dyDescent="0.25">
      <c r="A6" s="170" t="s">
        <v>91</v>
      </c>
      <c r="B6" s="171"/>
      <c r="C6" s="166"/>
      <c r="D6" s="166"/>
      <c r="E6" s="166"/>
      <c r="F6" s="166"/>
      <c r="G6" s="21"/>
    </row>
    <row r="7" spans="1:20" ht="15" customHeight="1" x14ac:dyDescent="0.25">
      <c r="A7" s="157" t="s">
        <v>52</v>
      </c>
      <c r="B7" s="177"/>
      <c r="C7" s="122" t="s">
        <v>430</v>
      </c>
      <c r="D7" s="37"/>
      <c r="E7" s="37"/>
      <c r="F7" s="37"/>
      <c r="G7" s="21"/>
      <c r="H7" s="38"/>
      <c r="I7" s="38"/>
      <c r="J7" s="38"/>
      <c r="K7" s="38"/>
    </row>
    <row r="8" spans="1:20" ht="58.5" customHeight="1" x14ac:dyDescent="0.25">
      <c r="D8" s="4"/>
      <c r="E8" s="4"/>
      <c r="F8" s="21"/>
      <c r="G8" s="21"/>
      <c r="H8" s="21"/>
      <c r="I8" s="4"/>
    </row>
    <row r="9" spans="1:20" ht="34.5" customHeight="1" x14ac:dyDescent="0.25">
      <c r="A9" s="119" t="s">
        <v>16</v>
      </c>
      <c r="B9" s="119" t="s">
        <v>27</v>
      </c>
      <c r="C9" s="119" t="s">
        <v>21</v>
      </c>
      <c r="D9" s="119" t="s">
        <v>19</v>
      </c>
      <c r="E9" s="120" t="s">
        <v>348</v>
      </c>
      <c r="F9" s="119" t="s">
        <v>162</v>
      </c>
      <c r="G9" s="119" t="s">
        <v>349</v>
      </c>
      <c r="H9" s="119" t="s">
        <v>107</v>
      </c>
      <c r="I9" s="119" t="s">
        <v>120</v>
      </c>
      <c r="J9" s="119" t="s">
        <v>108</v>
      </c>
      <c r="K9" s="119" t="s">
        <v>109</v>
      </c>
      <c r="L9" s="119" t="s">
        <v>119</v>
      </c>
      <c r="M9" s="119" t="s">
        <v>111</v>
      </c>
      <c r="N9" s="119" t="s">
        <v>96</v>
      </c>
      <c r="O9" s="123" t="s">
        <v>350</v>
      </c>
      <c r="P9" s="123" t="s">
        <v>351</v>
      </c>
      <c r="Q9" s="119" t="s">
        <v>204</v>
      </c>
      <c r="R9" s="119" t="s">
        <v>205</v>
      </c>
      <c r="S9" s="119" t="s">
        <v>196</v>
      </c>
      <c r="T9" s="119" t="s">
        <v>197</v>
      </c>
    </row>
    <row r="10" spans="1:20" ht="15" customHeight="1" x14ac:dyDescent="0.25">
      <c r="D10" s="4"/>
      <c r="E10" s="84"/>
      <c r="F10" s="5"/>
      <c r="G10" s="21"/>
      <c r="H10" s="21"/>
      <c r="I10" s="4"/>
    </row>
    <row r="11" spans="1:20" ht="15" customHeight="1" x14ac:dyDescent="0.25">
      <c r="D11" s="4"/>
      <c r="E11" s="84"/>
      <c r="F11" s="5"/>
      <c r="G11" s="21"/>
      <c r="H11" s="21"/>
      <c r="I11" s="4"/>
    </row>
    <row r="12" spans="1:20" ht="15" customHeight="1" x14ac:dyDescent="0.25">
      <c r="D12" s="4"/>
      <c r="E12" s="84"/>
      <c r="F12" s="5"/>
      <c r="G12" s="21"/>
      <c r="H12" s="21"/>
      <c r="I12" s="4"/>
    </row>
    <row r="13" spans="1:20" ht="15" customHeight="1" x14ac:dyDescent="0.25">
      <c r="D13" s="4"/>
      <c r="E13" s="84"/>
      <c r="F13" s="5"/>
      <c r="G13" s="21"/>
      <c r="H13" s="21"/>
      <c r="I13" s="4"/>
    </row>
    <row r="14" spans="1:20" ht="15" customHeight="1" x14ac:dyDescent="0.25">
      <c r="D14" s="4"/>
      <c r="E14" s="84"/>
      <c r="F14" s="5"/>
      <c r="G14" s="21"/>
      <c r="H14" s="21"/>
      <c r="I14" s="4"/>
    </row>
    <row r="15" spans="1:20" ht="15" customHeight="1" x14ac:dyDescent="0.25">
      <c r="D15" s="4"/>
      <c r="E15" s="84"/>
      <c r="F15" s="5"/>
      <c r="G15" s="21"/>
      <c r="H15" s="21"/>
      <c r="I15" s="4"/>
    </row>
    <row r="16" spans="1:20" ht="15" customHeight="1" x14ac:dyDescent="0.25">
      <c r="D16" s="4"/>
      <c r="E16" s="84"/>
      <c r="F16" s="5"/>
      <c r="G16" s="21"/>
      <c r="H16" s="21"/>
      <c r="I16" s="4"/>
    </row>
    <row r="17" spans="4:9" ht="15" customHeight="1" x14ac:dyDescent="0.25">
      <c r="D17" s="4"/>
      <c r="E17" s="84"/>
      <c r="F17" s="5"/>
      <c r="G17" s="21"/>
      <c r="H17" s="21"/>
      <c r="I17" s="4"/>
    </row>
    <row r="18" spans="4:9" ht="15" customHeight="1" x14ac:dyDescent="0.25">
      <c r="D18" s="4"/>
      <c r="E18" s="84"/>
      <c r="F18" s="5"/>
      <c r="G18" s="21"/>
      <c r="H18" s="21"/>
      <c r="I18" s="4"/>
    </row>
    <row r="19" spans="4:9" ht="15" customHeight="1" x14ac:dyDescent="0.25">
      <c r="D19" s="4"/>
      <c r="E19" s="84"/>
      <c r="F19" s="5"/>
      <c r="G19" s="21"/>
      <c r="H19" s="21"/>
      <c r="I19" s="4"/>
    </row>
    <row r="20" spans="4:9" ht="15" customHeight="1" x14ac:dyDescent="0.25">
      <c r="D20" s="4"/>
      <c r="E20" s="84"/>
      <c r="F20" s="5"/>
      <c r="G20" s="21"/>
      <c r="H20" s="21"/>
      <c r="I20" s="4"/>
    </row>
    <row r="21" spans="4:9" ht="15" customHeight="1" x14ac:dyDescent="0.25">
      <c r="D21" s="4"/>
      <c r="E21" s="84"/>
      <c r="F21" s="5"/>
      <c r="G21" s="21"/>
      <c r="H21" s="21"/>
      <c r="I21" s="4"/>
    </row>
    <row r="22" spans="4:9" ht="15" customHeight="1" x14ac:dyDescent="0.25">
      <c r="D22" s="4"/>
      <c r="E22" s="84"/>
      <c r="F22" s="5"/>
      <c r="G22" s="21"/>
      <c r="H22" s="21"/>
      <c r="I22" s="4"/>
    </row>
    <row r="23" spans="4:9" ht="15" customHeight="1" x14ac:dyDescent="0.25">
      <c r="D23" s="4"/>
      <c r="E23" s="84"/>
      <c r="F23" s="5"/>
      <c r="G23" s="21"/>
      <c r="H23" s="21"/>
      <c r="I23" s="4"/>
    </row>
    <row r="24" spans="4:9" ht="15" customHeight="1" x14ac:dyDescent="0.25">
      <c r="D24" s="4"/>
      <c r="E24" s="84"/>
      <c r="F24" s="5"/>
      <c r="G24" s="21"/>
      <c r="H24" s="21"/>
      <c r="I24" s="4"/>
    </row>
  </sheetData>
  <mergeCells count="9">
    <mergeCell ref="A3:B3"/>
    <mergeCell ref="C3:F3"/>
    <mergeCell ref="A6:B6"/>
    <mergeCell ref="C6:F6"/>
    <mergeCell ref="A7:B7"/>
    <mergeCell ref="A4:B4"/>
    <mergeCell ref="C4:F4"/>
    <mergeCell ref="A5:B5"/>
    <mergeCell ref="C5:F5"/>
  </mergeCells>
  <conditionalFormatting sqref="C3">
    <cfRule type="containsBlanks" dxfId="38" priority="3">
      <formula>LEN(TRIM(C3))=0</formula>
    </cfRule>
  </conditionalFormatting>
  <conditionalFormatting sqref="C7">
    <cfRule type="containsBlanks" dxfId="37" priority="2">
      <formula>LEN(TRIM(C7))=0</formula>
    </cfRule>
  </conditionalFormatting>
  <conditionalFormatting sqref="A10:D109 F10:M109">
    <cfRule type="expression" dxfId="36" priority="1">
      <formula>AND(COUNTA($A10:$T10)&gt;0,ISBLANK(A10))</formula>
    </cfRule>
  </conditionalFormatting>
  <dataValidations count="11">
    <dataValidation type="list" showErrorMessage="1" sqref="C3" xr:uid="{4E4A56A6-6C9A-4B1E-BDAC-24025C0EFE76}">
      <formula1>GeneralCondition</formula1>
    </dataValidation>
    <dataValidation type="list" allowBlank="1" showErrorMessage="1" sqref="C4" xr:uid="{5F87164F-1898-4771-B599-E92613706FE8}">
      <formula1>Prioritization</formula1>
    </dataValidation>
    <dataValidation type="textLength" operator="lessThanOrEqual" allowBlank="1" showInputMessage="1" showErrorMessage="1" prompt="Max. 1000 Zeichen." sqref="C5" xr:uid="{0E95F951-FCA9-40CA-939C-AF5BE1CDE061}">
      <formula1>1000</formula1>
    </dataValidation>
    <dataValidation type="textLength" operator="lessThanOrEqual" allowBlank="1" showInputMessage="1" showErrorMessage="1" prompt="Max. 1000 Zeichen." sqref="C6" xr:uid="{2A8F13A1-384C-468A-A785-61CDDE09DE8D}">
      <formula1>1000</formula1>
    </dataValidation>
    <dataValidation type="list" showInputMessage="1" prompt="Max. 5 Zeichen." sqref="A10:A109" xr:uid="{500205D7-2011-48ED-8D59-85397068492D}">
      <formula1>WS4ExpertCodes</formula1>
    </dataValidation>
    <dataValidation type="list" showInputMessage="1" showErrorMessage="1" prompt="Max. 5 Zeichen." sqref="N10:N109" xr:uid="{47628927-DC26-45F8-B1A2-ED341972E3A8}">
      <formula1>HeaterExpertCodes</formula1>
    </dataValidation>
    <dataValidation type="list" showErrorMessage="1" sqref="C10:C109" xr:uid="{5FAEC12D-4F58-40C7-B255-A075963455B8}">
      <formula1>WallOpeningType</formula1>
    </dataValidation>
    <dataValidation type="list" showErrorMessage="1" sqref="D10:D109" xr:uid="{A2CC7866-29E5-4AB7-BE06-50CAE5F7BA7F}">
      <formula1>OrientationH</formula1>
    </dataValidation>
    <dataValidation type="list" allowBlank="1" showErrorMessage="1" sqref="S10:S109" xr:uid="{E112AD81-75AB-4FDE-AB12-6AEDCEC91E1A}">
      <formula1>CalculationBase_NoMeter</formula1>
    </dataValidation>
    <dataValidation type="list" showInputMessage="1" showErrorMessage="1" prompt="Max. 5 Zeichen." sqref="M10:M109" xr:uid="{5833A64E-03A3-4953-9366-3E71ACCE6D8F}">
      <formula1>WallOpeningParentCodes</formula1>
    </dataValidation>
    <dataValidation type="textLength" operator="lessThanOrEqual" allowBlank="1" showInputMessage="1" showErrorMessage="1" prompt="Max. 250 Zeichen." sqref="B10:B110" xr:uid="{BDE4550C-E9E9-49D6-93EC-C8352DF76D8D}">
      <formula1>250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7E9F-E73E-4A30-93B3-0C24995EB0A1}">
  <dimension ref="A1:P18"/>
  <sheetViews>
    <sheetView zoomScaleNormal="100" workbookViewId="0"/>
  </sheetViews>
  <sheetFormatPr defaultColWidth="9.1796875" defaultRowHeight="15" customHeight="1" x14ac:dyDescent="0.25"/>
  <cols>
    <col min="1" max="1" width="6.1796875" style="1" customWidth="1"/>
    <col min="2" max="2" width="29.54296875" style="3" customWidth="1"/>
    <col min="3" max="4" width="18.7265625" style="1" customWidth="1"/>
    <col min="5" max="5" width="11" style="1" customWidth="1"/>
    <col min="6" max="6" width="14.81640625" style="1" customWidth="1"/>
    <col min="7" max="7" width="10.54296875" style="1" customWidth="1"/>
    <col min="8" max="8" width="11.1796875" style="1" customWidth="1"/>
    <col min="9" max="9" width="14.26953125" style="1" customWidth="1"/>
    <col min="10" max="11" width="16.81640625" style="1" customWidth="1"/>
    <col min="12" max="13" width="15" style="1" customWidth="1"/>
    <col min="14" max="14" width="11" style="1" customWidth="1"/>
    <col min="15" max="15" width="22" style="1" customWidth="1"/>
    <col min="16" max="16" width="13.453125" style="1" customWidth="1"/>
    <col min="17" max="16384" width="9.1796875" style="1"/>
  </cols>
  <sheetData>
    <row r="1" spans="1:16" ht="15" customHeight="1" thickBot="1" x14ac:dyDescent="0.3">
      <c r="A1" s="118" t="s">
        <v>112</v>
      </c>
      <c r="B1" s="91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</row>
    <row r="2" spans="1:16" ht="15" customHeight="1" x14ac:dyDescent="0.25">
      <c r="E2" s="4"/>
      <c r="F2" s="21"/>
      <c r="G2" s="21"/>
      <c r="H2" s="21"/>
      <c r="I2" s="4"/>
    </row>
    <row r="3" spans="1:16" ht="15" customHeight="1" x14ac:dyDescent="0.25">
      <c r="A3" s="157" t="s">
        <v>81</v>
      </c>
      <c r="B3" s="158"/>
      <c r="C3" s="159"/>
      <c r="D3" s="160"/>
      <c r="E3" s="160"/>
      <c r="F3" s="161"/>
      <c r="G3" s="21"/>
      <c r="H3" s="21"/>
      <c r="I3" s="4"/>
    </row>
    <row r="4" spans="1:16" ht="15" customHeight="1" x14ac:dyDescent="0.25">
      <c r="C4" s="162" t="s">
        <v>114</v>
      </c>
      <c r="D4" s="163"/>
      <c r="E4" s="163"/>
      <c r="F4" s="163"/>
      <c r="G4" s="21"/>
      <c r="H4" s="168" t="s">
        <v>113</v>
      </c>
      <c r="I4" s="169"/>
      <c r="J4" s="169"/>
      <c r="K4" s="169"/>
    </row>
    <row r="5" spans="1:16" ht="33" customHeight="1" x14ac:dyDescent="0.25">
      <c r="A5" s="164" t="s">
        <v>342</v>
      </c>
      <c r="B5" s="165"/>
      <c r="C5" s="166"/>
      <c r="D5" s="166"/>
      <c r="E5" s="166"/>
      <c r="F5" s="166"/>
      <c r="G5" s="39"/>
      <c r="H5" s="167"/>
      <c r="I5" s="167"/>
      <c r="J5" s="167"/>
      <c r="K5" s="167"/>
    </row>
    <row r="6" spans="1:16" ht="15" customHeight="1" x14ac:dyDescent="0.25">
      <c r="A6" s="157" t="s">
        <v>193</v>
      </c>
      <c r="B6" s="172"/>
      <c r="C6" s="166"/>
      <c r="D6" s="166"/>
      <c r="E6" s="166"/>
      <c r="F6" s="166"/>
      <c r="G6" s="39"/>
      <c r="H6" s="167"/>
      <c r="I6" s="167"/>
      <c r="J6" s="167"/>
      <c r="K6" s="167"/>
    </row>
    <row r="7" spans="1:16" ht="62.25" customHeight="1" x14ac:dyDescent="0.25">
      <c r="A7" s="170" t="s">
        <v>18</v>
      </c>
      <c r="B7" s="171"/>
      <c r="C7" s="166"/>
      <c r="D7" s="166"/>
      <c r="E7" s="166"/>
      <c r="F7" s="166"/>
      <c r="G7" s="39"/>
      <c r="H7" s="167"/>
      <c r="I7" s="167"/>
      <c r="J7" s="167"/>
      <c r="K7" s="167"/>
    </row>
    <row r="8" spans="1:16" ht="62.25" customHeight="1" x14ac:dyDescent="0.25">
      <c r="A8" s="170" t="s">
        <v>91</v>
      </c>
      <c r="B8" s="171"/>
      <c r="C8" s="166"/>
      <c r="D8" s="166"/>
      <c r="E8" s="166"/>
      <c r="F8" s="166"/>
      <c r="G8" s="39"/>
      <c r="H8" s="167"/>
      <c r="I8" s="167"/>
      <c r="J8" s="167"/>
      <c r="K8" s="167"/>
    </row>
    <row r="9" spans="1:16" ht="21" customHeight="1" x14ac:dyDescent="0.25">
      <c r="E9" s="4"/>
      <c r="F9" s="21"/>
      <c r="G9" s="21"/>
      <c r="H9" s="21"/>
      <c r="I9" s="4"/>
    </row>
    <row r="10" spans="1:16" ht="34.5" customHeight="1" x14ac:dyDescent="0.25">
      <c r="A10" s="119" t="s">
        <v>16</v>
      </c>
      <c r="B10" s="119" t="s">
        <v>27</v>
      </c>
      <c r="C10" s="119" t="s">
        <v>21</v>
      </c>
      <c r="D10" s="120" t="s">
        <v>348</v>
      </c>
      <c r="E10" s="119" t="s">
        <v>162</v>
      </c>
      <c r="F10" s="119" t="s">
        <v>349</v>
      </c>
      <c r="G10" s="119" t="s">
        <v>120</v>
      </c>
      <c r="H10" s="119" t="s">
        <v>119</v>
      </c>
      <c r="I10" s="119" t="s">
        <v>96</v>
      </c>
      <c r="J10" s="124" t="s">
        <v>350</v>
      </c>
      <c r="K10" s="119" t="s">
        <v>351</v>
      </c>
      <c r="L10" s="119" t="s">
        <v>99</v>
      </c>
      <c r="M10" s="119" t="s">
        <v>204</v>
      </c>
      <c r="N10" s="119" t="s">
        <v>205</v>
      </c>
      <c r="O10" s="119" t="s">
        <v>196</v>
      </c>
      <c r="P10" s="119" t="s">
        <v>197</v>
      </c>
    </row>
    <row r="11" spans="1:16" ht="15" customHeight="1" x14ac:dyDescent="0.25">
      <c r="D11" s="84"/>
      <c r="E11" s="5"/>
      <c r="F11" s="21"/>
      <c r="G11" s="21"/>
      <c r="H11" s="21"/>
    </row>
    <row r="12" spans="1:16" ht="15" customHeight="1" x14ac:dyDescent="0.25">
      <c r="D12" s="84"/>
      <c r="E12" s="5"/>
      <c r="F12" s="21"/>
      <c r="G12" s="21"/>
      <c r="H12" s="21"/>
      <c r="I12" s="4"/>
    </row>
    <row r="13" spans="1:16" ht="15" customHeight="1" x14ac:dyDescent="0.25">
      <c r="D13" s="84"/>
      <c r="E13" s="5"/>
      <c r="F13" s="21"/>
      <c r="G13" s="21"/>
      <c r="H13" s="21"/>
      <c r="I13" s="4"/>
    </row>
    <row r="14" spans="1:16" ht="15" customHeight="1" x14ac:dyDescent="0.25">
      <c r="D14" s="84"/>
      <c r="E14" s="5"/>
      <c r="F14" s="21"/>
      <c r="G14" s="21"/>
      <c r="H14" s="21"/>
      <c r="I14" s="4"/>
    </row>
    <row r="15" spans="1:16" ht="15" customHeight="1" x14ac:dyDescent="0.25">
      <c r="D15" s="84"/>
      <c r="E15" s="5"/>
      <c r="F15" s="21"/>
      <c r="G15" s="21"/>
      <c r="H15" s="21"/>
      <c r="I15" s="4"/>
    </row>
    <row r="16" spans="1:16" ht="15" customHeight="1" x14ac:dyDescent="0.25">
      <c r="D16" s="84"/>
      <c r="E16" s="5"/>
      <c r="F16" s="21"/>
      <c r="G16" s="21"/>
      <c r="H16" s="21"/>
      <c r="I16" s="4"/>
    </row>
    <row r="17" spans="4:9" ht="15" customHeight="1" x14ac:dyDescent="0.25">
      <c r="D17" s="84"/>
      <c r="E17" s="5"/>
      <c r="F17" s="21"/>
      <c r="G17" s="21"/>
      <c r="H17" s="21"/>
      <c r="I17" s="4"/>
    </row>
    <row r="18" spans="4:9" ht="15" customHeight="1" x14ac:dyDescent="0.25">
      <c r="D18" s="84"/>
      <c r="E18" s="5"/>
      <c r="F18" s="21"/>
      <c r="G18" s="21"/>
      <c r="H18" s="21"/>
      <c r="I18" s="4"/>
    </row>
  </sheetData>
  <mergeCells count="17">
    <mergeCell ref="A3:B3"/>
    <mergeCell ref="C3:F3"/>
    <mergeCell ref="C4:F4"/>
    <mergeCell ref="H4:K4"/>
    <mergeCell ref="A5:B5"/>
    <mergeCell ref="C5:F5"/>
    <mergeCell ref="H5:K5"/>
    <mergeCell ref="C1:P1"/>
    <mergeCell ref="A8:B8"/>
    <mergeCell ref="C8:F8"/>
    <mergeCell ref="H8:K8"/>
    <mergeCell ref="A6:B6"/>
    <mergeCell ref="C6:F6"/>
    <mergeCell ref="H6:K6"/>
    <mergeCell ref="A7:B7"/>
    <mergeCell ref="C7:F7"/>
    <mergeCell ref="H7:K7"/>
  </mergeCells>
  <conditionalFormatting sqref="C3">
    <cfRule type="containsBlanks" dxfId="35" priority="7">
      <formula>LEN(TRIM(C3))=0</formula>
    </cfRule>
  </conditionalFormatting>
  <conditionalFormatting sqref="C4">
    <cfRule type="containsBlanks" dxfId="34" priority="6">
      <formula>LEN(TRIM(C4))=0</formula>
    </cfRule>
  </conditionalFormatting>
  <conditionalFormatting sqref="H4">
    <cfRule type="containsBlanks" dxfId="33" priority="5">
      <formula>LEN(TRIM(H4))=0</formula>
    </cfRule>
  </conditionalFormatting>
  <conditionalFormatting sqref="C5">
    <cfRule type="containsBlanks" dxfId="32" priority="4">
      <formula>LEN(TRIM(C5))=0</formula>
    </cfRule>
  </conditionalFormatting>
  <conditionalFormatting sqref="H5">
    <cfRule type="containsBlanks" dxfId="31" priority="3">
      <formula>LEN(TRIM(H5))=0</formula>
    </cfRule>
  </conditionalFormatting>
  <conditionalFormatting sqref="A11:C110 E11:H110">
    <cfRule type="expression" dxfId="30" priority="2">
      <formula>AND(COUNTA($A11:$P11)&gt;0,ISBLANK(A11))</formula>
    </cfRule>
  </conditionalFormatting>
  <conditionalFormatting sqref="A11:C110 E11:H110">
    <cfRule type="expression" dxfId="29" priority="1">
      <formula>AND(COUNTA($A11:$P11)&gt;0,ISBLANK(A11))</formula>
    </cfRule>
  </conditionalFormatting>
  <dataValidations count="14">
    <dataValidation type="list" showErrorMessage="1" sqref="C3" xr:uid="{6AD47CD5-97DF-4462-9ECA-9493F304635D}">
      <formula1>BasementHeatingLevel</formula1>
    </dataValidation>
    <dataValidation type="list" showErrorMessage="1" sqref="C5" xr:uid="{BEA0C10A-8709-4F1E-8DB7-080522A6C787}">
      <formula1>GeneralCondition</formula1>
    </dataValidation>
    <dataValidation type="list" showErrorMessage="1" sqref="H5" xr:uid="{87DA5C87-D082-45CC-A17D-9D98A1D38EDE}">
      <formula1>GeneralCondition</formula1>
    </dataValidation>
    <dataValidation type="list" allowBlank="1" showErrorMessage="1" sqref="C6" xr:uid="{D8B1D6E4-6E7D-4CB5-BBCD-39E93CB13EA2}">
      <formula1>Prioritization</formula1>
    </dataValidation>
    <dataValidation type="list" allowBlank="1" showErrorMessage="1" sqref="H6" xr:uid="{DB969F0B-825B-490B-9150-327C7932F8A1}">
      <formula1>Prioritization</formula1>
    </dataValidation>
    <dataValidation type="textLength" operator="lessThanOrEqual" allowBlank="1" showInputMessage="1" showErrorMessage="1" prompt="Max. 1000 Zeichen." sqref="C7" xr:uid="{A6DFAACB-0D58-40CB-8A11-5D0CA13D6C8A}">
      <formula1>1000</formula1>
    </dataValidation>
    <dataValidation type="textLength" operator="lessThanOrEqual" allowBlank="1" showInputMessage="1" showErrorMessage="1" prompt="Max. 1000 Zeichen." sqref="H7" xr:uid="{F9A4D3CF-C1C5-42CB-9D0F-96E5E924F676}">
      <formula1>1000</formula1>
    </dataValidation>
    <dataValidation type="textLength" operator="lessThanOrEqual" allowBlank="1" showInputMessage="1" showErrorMessage="1" prompt="Max. 1000 Zeichen." sqref="C8" xr:uid="{060390A9-D2F9-4434-BEB5-1616F792194D}">
      <formula1>1000</formula1>
    </dataValidation>
    <dataValidation type="textLength" operator="lessThanOrEqual" allowBlank="1" showInputMessage="1" showErrorMessage="1" prompt="Max. 1000 Zeichen." sqref="H8" xr:uid="{3266881F-3166-4BC7-9D13-88E7B4617DEE}">
      <formula1>1000</formula1>
    </dataValidation>
    <dataValidation type="list" showInputMessage="1" prompt="Max. 5 Zeichen." sqref="A11:A110" xr:uid="{374F20F8-B8B7-4492-867C-B3CE22EAAB67}">
      <formula1>WS5ExpertCodes</formula1>
    </dataValidation>
    <dataValidation type="list" showInputMessage="1" showErrorMessage="1" prompt="Max. 5 Zeichen." sqref="I11:I110" xr:uid="{10C2063D-2228-4CC9-BE79-2FD4E4F4DE2A}">
      <formula1>HeaterExpertCodes</formula1>
    </dataValidation>
    <dataValidation type="list" showErrorMessage="1" sqref="C11:C110" xr:uid="{4E95B6B4-E678-4806-B12F-F2334FD61190}">
      <formula1>FloorType</formula1>
    </dataValidation>
    <dataValidation type="list" allowBlank="1" showErrorMessage="1" sqref="O11:O110" xr:uid="{03202C93-0C1E-4E27-8491-B366E2703685}">
      <formula1>CalculationBase_NoMeter</formula1>
    </dataValidation>
    <dataValidation type="textLength" operator="lessThanOrEqual" allowBlank="1" showInputMessage="1" showErrorMessage="1" prompt="Max. 250 Zeichen." sqref="B11:B111" xr:uid="{EF5FAAE8-6199-44D4-A2D1-DEBBE4E57B09}">
      <formula1>250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2325-C30A-4CBD-A9B8-111982561DC0}">
  <dimension ref="A1:K24"/>
  <sheetViews>
    <sheetView zoomScaleNormal="100" workbookViewId="0">
      <selection sqref="A1:K1"/>
    </sheetView>
  </sheetViews>
  <sheetFormatPr defaultColWidth="9.1796875" defaultRowHeight="15" customHeight="1" x14ac:dyDescent="0.25"/>
  <cols>
    <col min="1" max="1" width="6.1796875" style="1" customWidth="1"/>
    <col min="2" max="2" width="29.54296875" style="3" customWidth="1"/>
    <col min="3" max="4" width="18.7265625" style="1" customWidth="1"/>
    <col min="5" max="5" width="11" style="1" customWidth="1"/>
    <col min="6" max="6" width="14.81640625" style="1" customWidth="1"/>
    <col min="7" max="7" width="10.54296875" style="1" customWidth="1"/>
    <col min="8" max="8" width="10" style="1" customWidth="1"/>
    <col min="9" max="9" width="12.1796875" style="1" customWidth="1"/>
    <col min="10" max="10" width="15.81640625" style="1" customWidth="1"/>
    <col min="11" max="11" width="15.1796875" style="1" customWidth="1"/>
    <col min="12" max="12" width="15" style="1" customWidth="1"/>
    <col min="13" max="13" width="14.26953125" style="1" customWidth="1"/>
    <col min="14" max="14" width="15" style="1" customWidth="1"/>
    <col min="15" max="17" width="16.7265625" style="1" customWidth="1"/>
    <col min="18" max="16384" width="9.1796875" style="1"/>
  </cols>
  <sheetData>
    <row r="1" spans="1:11" ht="15" customHeight="1" thickBot="1" x14ac:dyDescent="0.3">
      <c r="A1" s="154" t="s">
        <v>115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</row>
    <row r="2" spans="1:11" ht="15" customHeight="1" x14ac:dyDescent="0.25">
      <c r="E2" s="4"/>
      <c r="F2" s="21"/>
      <c r="G2" s="21"/>
      <c r="H2" s="21"/>
      <c r="I2" s="4"/>
    </row>
    <row r="3" spans="1:11" ht="15" customHeight="1" x14ac:dyDescent="0.25">
      <c r="A3" s="157" t="s">
        <v>193</v>
      </c>
      <c r="B3" s="172"/>
      <c r="C3" s="166"/>
      <c r="D3" s="166"/>
      <c r="E3" s="166"/>
      <c r="F3" s="166"/>
      <c r="G3" s="21"/>
    </row>
    <row r="4" spans="1:11" ht="62.25" customHeight="1" x14ac:dyDescent="0.25">
      <c r="A4" s="170" t="s">
        <v>18</v>
      </c>
      <c r="B4" s="171"/>
      <c r="C4" s="166"/>
      <c r="D4" s="166"/>
      <c r="E4" s="166"/>
      <c r="F4" s="166"/>
      <c r="G4" s="21"/>
    </row>
    <row r="5" spans="1:11" ht="62.25" customHeight="1" x14ac:dyDescent="0.25">
      <c r="A5" s="170" t="s">
        <v>91</v>
      </c>
      <c r="B5" s="171"/>
      <c r="C5" s="166"/>
      <c r="D5" s="166"/>
      <c r="E5" s="166"/>
      <c r="F5" s="166"/>
      <c r="G5" s="21"/>
    </row>
    <row r="6" spans="1:11" ht="26.25" customHeight="1" x14ac:dyDescent="0.25">
      <c r="E6" s="4"/>
      <c r="F6" s="21"/>
      <c r="G6" s="21"/>
      <c r="H6" s="21"/>
      <c r="I6" s="4"/>
    </row>
    <row r="7" spans="1:11" ht="34.5" customHeight="1" x14ac:dyDescent="0.25">
      <c r="A7" s="119" t="s">
        <v>16</v>
      </c>
      <c r="B7" s="124" t="s">
        <v>27</v>
      </c>
      <c r="C7" s="124" t="s">
        <v>21</v>
      </c>
      <c r="D7" s="120" t="s">
        <v>348</v>
      </c>
      <c r="E7" s="124" t="s">
        <v>116</v>
      </c>
      <c r="F7" s="124" t="s">
        <v>117</v>
      </c>
      <c r="G7" s="124" t="s">
        <v>118</v>
      </c>
      <c r="H7" s="124" t="s">
        <v>119</v>
      </c>
      <c r="I7" s="119" t="s">
        <v>120</v>
      </c>
    </row>
    <row r="8" spans="1:11" ht="15" customHeight="1" x14ac:dyDescent="0.25">
      <c r="D8" s="84"/>
      <c r="E8" s="5"/>
      <c r="F8" s="21"/>
      <c r="G8" s="21"/>
      <c r="H8" s="21"/>
      <c r="I8" s="4"/>
    </row>
    <row r="9" spans="1:11" ht="15" customHeight="1" x14ac:dyDescent="0.25">
      <c r="D9" s="84"/>
      <c r="E9" s="5"/>
      <c r="F9" s="21"/>
      <c r="G9" s="21"/>
      <c r="H9" s="21"/>
      <c r="I9" s="4"/>
    </row>
    <row r="10" spans="1:11" ht="15" customHeight="1" x14ac:dyDescent="0.25">
      <c r="D10" s="84"/>
      <c r="E10" s="5"/>
      <c r="F10" s="21"/>
      <c r="G10" s="21"/>
      <c r="H10" s="21"/>
      <c r="I10" s="4"/>
    </row>
    <row r="11" spans="1:11" ht="15" customHeight="1" x14ac:dyDescent="0.25">
      <c r="D11" s="84"/>
      <c r="E11" s="5"/>
      <c r="F11" s="21"/>
      <c r="G11" s="21"/>
      <c r="H11" s="21"/>
      <c r="I11" s="4"/>
    </row>
    <row r="12" spans="1:11" ht="15" customHeight="1" x14ac:dyDescent="0.25">
      <c r="D12" s="84"/>
      <c r="E12" s="5"/>
      <c r="F12" s="21"/>
      <c r="G12" s="21"/>
      <c r="H12" s="21"/>
      <c r="I12" s="4"/>
    </row>
    <row r="13" spans="1:11" ht="15" customHeight="1" x14ac:dyDescent="0.25">
      <c r="D13" s="84"/>
      <c r="E13" s="5"/>
      <c r="F13" s="21"/>
      <c r="G13" s="21"/>
      <c r="H13" s="21"/>
      <c r="I13" s="4"/>
    </row>
    <row r="14" spans="1:11" ht="15" customHeight="1" x14ac:dyDescent="0.25">
      <c r="D14" s="84"/>
      <c r="E14" s="5"/>
      <c r="F14" s="21"/>
      <c r="G14" s="21"/>
      <c r="H14" s="21"/>
      <c r="I14" s="4"/>
    </row>
    <row r="15" spans="1:11" ht="15" customHeight="1" x14ac:dyDescent="0.25">
      <c r="D15" s="84"/>
      <c r="E15" s="5"/>
      <c r="F15" s="21"/>
      <c r="G15" s="21"/>
      <c r="H15" s="21"/>
      <c r="I15" s="4"/>
    </row>
    <row r="16" spans="1:11" ht="15" customHeight="1" x14ac:dyDescent="0.25">
      <c r="D16" s="84"/>
      <c r="E16" s="5"/>
      <c r="F16" s="21"/>
      <c r="G16" s="21"/>
      <c r="H16" s="21"/>
      <c r="I16" s="4"/>
    </row>
    <row r="17" spans="4:9" ht="15" customHeight="1" x14ac:dyDescent="0.25">
      <c r="D17" s="84"/>
      <c r="E17" s="5"/>
      <c r="F17" s="21"/>
      <c r="G17" s="21"/>
      <c r="H17" s="21"/>
      <c r="I17" s="4"/>
    </row>
    <row r="18" spans="4:9" ht="15" customHeight="1" x14ac:dyDescent="0.25">
      <c r="D18" s="84"/>
      <c r="E18" s="5"/>
      <c r="F18" s="21"/>
      <c r="G18" s="21"/>
      <c r="H18" s="21"/>
      <c r="I18" s="4"/>
    </row>
    <row r="19" spans="4:9" ht="15" customHeight="1" x14ac:dyDescent="0.25">
      <c r="D19" s="84"/>
      <c r="E19" s="5"/>
      <c r="F19" s="21"/>
      <c r="G19" s="21"/>
      <c r="H19" s="21"/>
      <c r="I19" s="4"/>
    </row>
    <row r="20" spans="4:9" ht="15" customHeight="1" x14ac:dyDescent="0.25">
      <c r="D20" s="84"/>
      <c r="E20" s="5"/>
      <c r="F20" s="21"/>
      <c r="G20" s="21"/>
      <c r="H20" s="21"/>
      <c r="I20" s="4"/>
    </row>
    <row r="21" spans="4:9" ht="15" customHeight="1" x14ac:dyDescent="0.25">
      <c r="D21" s="84"/>
      <c r="E21" s="5"/>
      <c r="F21" s="21"/>
      <c r="G21" s="21"/>
      <c r="H21" s="21"/>
      <c r="I21" s="4"/>
    </row>
    <row r="22" spans="4:9" ht="15" customHeight="1" x14ac:dyDescent="0.25">
      <c r="D22" s="84"/>
      <c r="E22" s="5"/>
      <c r="F22" s="21"/>
      <c r="G22" s="21"/>
      <c r="H22" s="21"/>
      <c r="I22" s="4"/>
    </row>
    <row r="23" spans="4:9" ht="15" customHeight="1" x14ac:dyDescent="0.25">
      <c r="D23" s="84"/>
      <c r="E23" s="5"/>
      <c r="F23" s="21"/>
      <c r="G23" s="21"/>
      <c r="H23" s="21"/>
      <c r="I23" s="4"/>
    </row>
    <row r="24" spans="4:9" ht="15" customHeight="1" x14ac:dyDescent="0.25">
      <c r="D24" s="84"/>
      <c r="E24" s="5"/>
      <c r="F24" s="21"/>
      <c r="G24" s="21"/>
      <c r="H24" s="21"/>
      <c r="I24" s="4"/>
    </row>
  </sheetData>
  <mergeCells count="7">
    <mergeCell ref="A5:B5"/>
    <mergeCell ref="C5:F5"/>
    <mergeCell ref="A1:K1"/>
    <mergeCell ref="A3:B3"/>
    <mergeCell ref="C3:F3"/>
    <mergeCell ref="A4:B4"/>
    <mergeCell ref="C4:F4"/>
  </mergeCells>
  <conditionalFormatting sqref="A8:I107">
    <cfRule type="expression" dxfId="28" priority="1">
      <formula>AND(COUNTA($A8:$I8)&gt;0,ISBLANK(A8))</formula>
    </cfRule>
  </conditionalFormatting>
  <dataValidations count="6">
    <dataValidation type="list" allowBlank="1" showErrorMessage="1" sqref="C3" xr:uid="{C403583E-5CC9-4E85-9A07-EF40126D5C8D}">
      <formula1>Prioritization</formula1>
    </dataValidation>
    <dataValidation type="textLength" operator="lessThanOrEqual" allowBlank="1" showInputMessage="1" showErrorMessage="1" prompt="Max. 1000 Zeichen." sqref="C4" xr:uid="{F721BBB5-5DB7-4815-B91F-3DF22C235033}">
      <formula1>1000</formula1>
    </dataValidation>
    <dataValidation type="textLength" operator="lessThanOrEqual" allowBlank="1" showInputMessage="1" showErrorMessage="1" prompt="Max. 1000 Zeichen." sqref="C5" xr:uid="{CE9C96F4-6CC3-4125-A6A0-2AA889729FB3}">
      <formula1>1000</formula1>
    </dataValidation>
    <dataValidation type="list" showInputMessage="1" prompt="Max. 5 Zeichen." sqref="A8:A107" xr:uid="{6E2360F8-2F36-4A44-9174-05845D7CC0C2}">
      <formula1>WS6ExpertCodes</formula1>
    </dataValidation>
    <dataValidation type="list" showErrorMessage="1" sqref="C8:C107" xr:uid="{0CDE3265-7EF8-4E70-BD60-D1EA00169C23}">
      <formula1>ThermalBridgeType</formula1>
    </dataValidation>
    <dataValidation type="textLength" operator="lessThanOrEqual" allowBlank="1" showInputMessage="1" showErrorMessage="1" prompt="Max. 250 Zeichen." sqref="B8:B108" xr:uid="{B9120448-E12F-425C-8F0E-6EAA3853DBAC}">
      <formula1>250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DCF7-4403-4F8B-9441-58F2A3D7ECD7}">
  <sheetPr codeName="Sheet7"/>
  <dimension ref="A1:Q14"/>
  <sheetViews>
    <sheetView zoomScaleNormal="100" workbookViewId="0">
      <selection sqref="A1:Q1"/>
    </sheetView>
  </sheetViews>
  <sheetFormatPr defaultColWidth="9.1796875" defaultRowHeight="15" customHeight="1" x14ac:dyDescent="0.25"/>
  <cols>
    <col min="1" max="1" width="7.26953125" style="1" customWidth="1"/>
    <col min="2" max="2" width="16" style="1" customWidth="1"/>
    <col min="3" max="3" width="14.453125" style="1" customWidth="1"/>
    <col min="4" max="4" width="16" style="1" customWidth="1"/>
    <col min="5" max="5" width="15.81640625" style="1" customWidth="1"/>
    <col min="6" max="6" width="19.453125" style="1" customWidth="1"/>
    <col min="7" max="7" width="18.26953125" style="1" customWidth="1"/>
    <col min="8" max="8" width="14.1796875" style="1" customWidth="1"/>
    <col min="9" max="9" width="13.453125" style="1" customWidth="1"/>
    <col min="10" max="10" width="10.1796875" style="1" customWidth="1"/>
    <col min="11" max="11" width="26.81640625" style="1" customWidth="1"/>
    <col min="12" max="12" width="19.26953125" style="1" customWidth="1"/>
    <col min="13" max="13" width="20" style="1" customWidth="1"/>
    <col min="14" max="14" width="18.1796875" style="1" customWidth="1"/>
    <col min="15" max="15" width="13.453125" style="1" customWidth="1"/>
    <col min="16" max="16" width="20.1796875" style="1" bestFit="1" customWidth="1"/>
    <col min="17" max="17" width="13.54296875" style="1" customWidth="1"/>
    <col min="18" max="16384" width="9.1796875" style="1"/>
  </cols>
  <sheetData>
    <row r="1" spans="1:17" ht="15" customHeight="1" thickBot="1" x14ac:dyDescent="0.3">
      <c r="A1" s="178" t="s">
        <v>36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 ht="47.25" customHeight="1" x14ac:dyDescent="0.25"/>
    <row r="3" spans="1:17" s="40" customFormat="1" ht="44.25" customHeight="1" x14ac:dyDescent="0.35">
      <c r="A3" s="119" t="s">
        <v>16</v>
      </c>
      <c r="B3" s="121" t="s">
        <v>27</v>
      </c>
      <c r="C3" s="121" t="s">
        <v>28</v>
      </c>
      <c r="D3" s="121" t="s">
        <v>82</v>
      </c>
      <c r="E3" s="121" t="s">
        <v>83</v>
      </c>
      <c r="F3" s="121" t="s">
        <v>38</v>
      </c>
      <c r="G3" s="121" t="s">
        <v>21</v>
      </c>
      <c r="H3" s="121" t="s">
        <v>29</v>
      </c>
      <c r="I3" s="121" t="s">
        <v>37</v>
      </c>
      <c r="J3" s="121" t="s">
        <v>7</v>
      </c>
      <c r="K3" s="121" t="s">
        <v>22</v>
      </c>
      <c r="L3" s="121" t="s">
        <v>30</v>
      </c>
      <c r="M3" s="119" t="s">
        <v>201</v>
      </c>
      <c r="N3" s="119" t="s">
        <v>204</v>
      </c>
      <c r="O3" s="119" t="s">
        <v>205</v>
      </c>
      <c r="P3" s="119" t="s">
        <v>196</v>
      </c>
      <c r="Q3" s="119" t="s">
        <v>197</v>
      </c>
    </row>
    <row r="4" spans="1:17" s="29" customFormat="1" ht="15" customHeight="1" x14ac:dyDescent="0.25">
      <c r="A4" s="28"/>
      <c r="B4" s="26"/>
      <c r="C4" s="26"/>
      <c r="D4" s="80"/>
      <c r="E4" s="80"/>
      <c r="F4" s="31"/>
      <c r="G4" s="27"/>
      <c r="H4" s="27"/>
      <c r="I4" s="27"/>
      <c r="J4" s="27"/>
      <c r="K4" s="26"/>
      <c r="L4" s="26"/>
      <c r="M4" s="26"/>
    </row>
    <row r="5" spans="1:17" s="29" customFormat="1" ht="15" customHeight="1" x14ac:dyDescent="0.25">
      <c r="A5" s="28"/>
      <c r="B5" s="26"/>
      <c r="C5" s="26"/>
      <c r="D5" s="80"/>
      <c r="E5" s="80"/>
      <c r="F5" s="31"/>
      <c r="G5" s="27"/>
      <c r="H5" s="27"/>
      <c r="I5" s="27"/>
      <c r="J5" s="27"/>
      <c r="K5" s="26"/>
      <c r="L5" s="26"/>
      <c r="M5" s="26"/>
    </row>
    <row r="6" spans="1:17" s="29" customFormat="1" ht="15" customHeight="1" x14ac:dyDescent="0.25">
      <c r="A6" s="28"/>
      <c r="B6" s="26"/>
      <c r="C6" s="26"/>
      <c r="D6" s="80"/>
      <c r="E6" s="80"/>
      <c r="F6" s="31"/>
      <c r="G6" s="27"/>
      <c r="H6" s="27"/>
      <c r="I6" s="27"/>
      <c r="J6" s="27"/>
      <c r="K6" s="26"/>
      <c r="L6" s="26"/>
      <c r="M6" s="26"/>
    </row>
    <row r="7" spans="1:17" s="29" customFormat="1" ht="15" customHeight="1" x14ac:dyDescent="0.25">
      <c r="A7" s="28"/>
      <c r="B7" s="26"/>
      <c r="C7" s="26"/>
      <c r="D7" s="80"/>
      <c r="E7" s="80"/>
      <c r="F7" s="31"/>
      <c r="G7" s="27"/>
      <c r="H7" s="27"/>
      <c r="I7" s="27"/>
      <c r="J7" s="27"/>
      <c r="K7" s="26"/>
      <c r="L7" s="26"/>
      <c r="M7" s="26"/>
    </row>
    <row r="8" spans="1:17" s="29" customFormat="1" ht="15" customHeight="1" x14ac:dyDescent="0.25">
      <c r="D8" s="58"/>
      <c r="E8" s="58"/>
    </row>
    <row r="9" spans="1:17" s="29" customFormat="1" ht="15" customHeight="1" x14ac:dyDescent="0.25">
      <c r="D9" s="58"/>
      <c r="E9" s="58"/>
    </row>
    <row r="10" spans="1:17" s="29" customFormat="1" ht="15" customHeight="1" x14ac:dyDescent="0.25">
      <c r="D10" s="58"/>
      <c r="E10" s="58"/>
    </row>
    <row r="11" spans="1:17" s="29" customFormat="1" ht="15" customHeight="1" x14ac:dyDescent="0.25"/>
    <row r="12" spans="1:17" s="29" customFormat="1" ht="15" customHeight="1" x14ac:dyDescent="0.25"/>
    <row r="13" spans="1:17" s="29" customFormat="1" ht="15" customHeight="1" x14ac:dyDescent="0.25"/>
    <row r="14" spans="1:17" s="29" customFormat="1" ht="15" customHeight="1" x14ac:dyDescent="0.25"/>
  </sheetData>
  <mergeCells count="1">
    <mergeCell ref="A1:Q1"/>
  </mergeCells>
  <conditionalFormatting sqref="A4:M8">
    <cfRule type="expression" dxfId="27" priority="1">
      <formula>AND(COUNTA($A4:$Q4)&gt;0,ISBLANK(A4))</formula>
    </cfRule>
  </conditionalFormatting>
  <dataValidations count="10">
    <dataValidation type="list" showInputMessage="1" showErrorMessage="1" prompt="Max. 5 Zeichen." sqref="A4:A8" xr:uid="{19D22C42-BA29-449B-9E59-C79B5BF41706}">
      <formula1>HpExpertCodes</formula1>
    </dataValidation>
    <dataValidation type="list" showErrorMessage="1" sqref="C4:C8" xr:uid="{8749CEAE-B85B-4F54-A9E7-8ADCBB4AB670}">
      <formula1>EnergySources</formula1>
    </dataValidation>
    <dataValidation type="list" showErrorMessage="1" sqref="F4:F8" xr:uid="{03739EDE-0564-4862-9920-1ACC608F0026}">
      <formula1>HeatProducerOversize</formula1>
    </dataValidation>
    <dataValidation type="list" showInputMessage="1" showErrorMessage="1" prompt="Max. 5 Zeichen." sqref="G4:G8" xr:uid="{5BD6CDF7-F78B-4FCB-98CA-24E56186A62E}">
      <formula1>HeatProducerTypes</formula1>
    </dataValidation>
    <dataValidation type="list" showErrorMessage="1" sqref="H4:H8" xr:uid="{B62EEE5C-358A-4973-BCB6-7636522A906C}">
      <formula1>SuppliedDistributionSystems</formula1>
    </dataValidation>
    <dataValidation type="list" showErrorMessage="1" sqref="I4:I8" xr:uid="{CE464CAA-8FD1-4337-9213-C958E7C5A9CC}">
      <formula1>HeatingSupplyType</formula1>
    </dataValidation>
    <dataValidation type="list" showErrorMessage="1" sqref="K4:K8" xr:uid="{C28D7047-A75F-4391-8874-E4078B05F957}">
      <formula1>HeatProducerCondition</formula1>
    </dataValidation>
    <dataValidation type="list" showErrorMessage="1" sqref="L4:L8" xr:uid="{C32748DC-E9D5-4C2C-A449-7D6D63B2682D}">
      <formula1>InOutThermalEnvelope</formula1>
    </dataValidation>
    <dataValidation type="list" allowBlank="1" showErrorMessage="1" sqref="P4:P103" xr:uid="{DA76460F-3C6C-4493-9B8A-BD24F1B2EB35}">
      <formula1>CalculationBase_OnlyLump</formula1>
    </dataValidation>
    <dataValidation type="textLength" operator="lessThanOrEqual" allowBlank="1" showInputMessage="1" showErrorMessage="1" prompt="Max. 250 Zeichen." sqref="B4:B104" xr:uid="{4FF41D0E-CFF3-45CB-952C-6039B155CD60}">
      <formula1>250</formula1>
    </dataValidation>
  </dataValidations>
  <pageMargins left="0.7" right="0.7" top="0.75" bottom="0.75" header="0.3" footer="0.3"/>
  <pageSetup paperSize="9" orientation="portrait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485E-B9D2-4CAE-A891-DAC41B94C2B9}">
  <dimension ref="A1:S14"/>
  <sheetViews>
    <sheetView zoomScaleNormal="100" workbookViewId="0"/>
  </sheetViews>
  <sheetFormatPr defaultColWidth="9.1796875" defaultRowHeight="15" customHeight="1" x14ac:dyDescent="0.25"/>
  <cols>
    <col min="1" max="1" width="7.26953125" style="1" customWidth="1"/>
    <col min="2" max="2" width="16" style="1" customWidth="1"/>
    <col min="3" max="3" width="27.81640625" style="1" customWidth="1"/>
    <col min="4" max="6" width="26" style="1" customWidth="1"/>
    <col min="7" max="7" width="27.81640625" style="1" customWidth="1"/>
    <col min="8" max="8" width="25.7265625" style="1" customWidth="1"/>
    <col min="9" max="10" width="20.54296875" style="1" customWidth="1"/>
    <col min="11" max="15" width="6.81640625" style="1" customWidth="1"/>
    <col min="16" max="16" width="20" style="1" customWidth="1"/>
    <col min="17" max="17" width="9.7265625" style="1" customWidth="1"/>
    <col min="18" max="18" width="19.7265625" style="1" customWidth="1"/>
    <col min="19" max="19" width="17.453125" style="1" customWidth="1"/>
    <col min="20" max="16384" width="9.1796875" style="1"/>
  </cols>
  <sheetData>
    <row r="1" spans="1:19" ht="15" customHeight="1" thickBot="1" x14ac:dyDescent="0.4">
      <c r="A1" s="127" t="s">
        <v>171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65"/>
      <c r="Q1" s="89"/>
      <c r="R1" s="89"/>
      <c r="S1" s="89"/>
    </row>
    <row r="2" spans="1:19" ht="47.25" customHeight="1" x14ac:dyDescent="0.25">
      <c r="K2" s="180"/>
      <c r="L2" s="181"/>
      <c r="M2" s="181"/>
      <c r="N2" s="181"/>
      <c r="O2" s="182"/>
    </row>
    <row r="3" spans="1:19" s="40" customFormat="1" ht="44.25" customHeight="1" x14ac:dyDescent="0.35">
      <c r="A3" s="119" t="s">
        <v>16</v>
      </c>
      <c r="B3" s="121" t="s">
        <v>27</v>
      </c>
      <c r="C3" s="121" t="s">
        <v>21</v>
      </c>
      <c r="D3" s="121" t="s">
        <v>172</v>
      </c>
      <c r="E3" s="121" t="s">
        <v>173</v>
      </c>
      <c r="F3" s="121" t="s">
        <v>184</v>
      </c>
      <c r="G3" s="121" t="s">
        <v>30</v>
      </c>
      <c r="H3" s="121" t="s">
        <v>174</v>
      </c>
      <c r="I3" s="121" t="s">
        <v>175</v>
      </c>
      <c r="J3" s="119" t="s">
        <v>201</v>
      </c>
      <c r="K3" s="121" t="s">
        <v>176</v>
      </c>
      <c r="L3" s="121" t="s">
        <v>177</v>
      </c>
      <c r="M3" s="121" t="s">
        <v>178</v>
      </c>
      <c r="N3" s="121" t="s">
        <v>179</v>
      </c>
      <c r="O3" s="121" t="s">
        <v>180</v>
      </c>
      <c r="P3" s="119" t="s">
        <v>204</v>
      </c>
      <c r="Q3" s="119" t="s">
        <v>205</v>
      </c>
      <c r="R3" s="119" t="s">
        <v>196</v>
      </c>
      <c r="S3" s="119" t="s">
        <v>197</v>
      </c>
    </row>
    <row r="4" spans="1:19" s="29" customFormat="1" ht="15" customHeight="1" x14ac:dyDescent="0.25">
      <c r="A4" s="28"/>
      <c r="B4" s="26"/>
      <c r="C4" s="26"/>
      <c r="D4" s="82"/>
      <c r="E4" s="82"/>
      <c r="F4" s="82"/>
      <c r="G4" s="27"/>
      <c r="H4" s="27"/>
      <c r="I4" s="81"/>
      <c r="J4" s="81"/>
      <c r="K4" s="27"/>
      <c r="L4" s="26"/>
      <c r="M4" s="26"/>
      <c r="N4" s="26"/>
      <c r="O4" s="26"/>
      <c r="P4" s="26"/>
    </row>
    <row r="5" spans="1:19" s="29" customFormat="1" ht="15" customHeight="1" x14ac:dyDescent="0.25">
      <c r="A5" s="28"/>
      <c r="B5" s="26"/>
      <c r="C5" s="26"/>
      <c r="D5" s="82"/>
      <c r="E5" s="82"/>
      <c r="F5" s="82"/>
      <c r="G5" s="27"/>
      <c r="H5" s="27"/>
      <c r="I5" s="81"/>
      <c r="J5" s="81"/>
      <c r="K5" s="27"/>
      <c r="L5" s="26"/>
      <c r="M5" s="26"/>
      <c r="N5" s="26"/>
      <c r="O5" s="26"/>
      <c r="P5" s="26"/>
    </row>
    <row r="6" spans="1:19" s="29" customFormat="1" ht="15" customHeight="1" x14ac:dyDescent="0.25">
      <c r="A6" s="28"/>
      <c r="B6" s="26"/>
      <c r="C6" s="26"/>
      <c r="D6" s="82"/>
      <c r="E6" s="82"/>
      <c r="F6" s="82"/>
      <c r="G6" s="27"/>
      <c r="H6" s="27"/>
      <c r="I6" s="81"/>
      <c r="J6" s="81"/>
      <c r="K6" s="27"/>
      <c r="L6" s="26"/>
      <c r="M6" s="26"/>
      <c r="N6" s="26"/>
      <c r="O6" s="26"/>
      <c r="P6" s="26"/>
    </row>
    <row r="7" spans="1:19" s="29" customFormat="1" ht="15" customHeight="1" x14ac:dyDescent="0.25">
      <c r="A7" s="28"/>
      <c r="B7" s="26"/>
      <c r="C7" s="26"/>
      <c r="D7" s="82"/>
      <c r="E7" s="82"/>
      <c r="F7" s="82"/>
      <c r="G7" s="27"/>
      <c r="H7" s="27"/>
      <c r="I7" s="81"/>
      <c r="J7" s="81"/>
      <c r="K7" s="27"/>
      <c r="L7" s="26"/>
      <c r="M7" s="26"/>
      <c r="N7" s="26"/>
      <c r="O7" s="26"/>
      <c r="P7" s="26"/>
    </row>
    <row r="8" spans="1:19" s="29" customFormat="1" ht="15" customHeight="1" x14ac:dyDescent="0.25">
      <c r="D8" s="4"/>
      <c r="E8" s="4"/>
      <c r="F8" s="4"/>
      <c r="I8" s="5"/>
      <c r="J8" s="5"/>
    </row>
    <row r="9" spans="1:19" s="29" customFormat="1" ht="15" customHeight="1" x14ac:dyDescent="0.25">
      <c r="D9" s="4"/>
      <c r="E9" s="4"/>
      <c r="F9" s="4"/>
      <c r="I9" s="5"/>
      <c r="J9" s="5"/>
    </row>
    <row r="10" spans="1:19" s="29" customFormat="1" ht="15" customHeight="1" x14ac:dyDescent="0.25">
      <c r="D10" s="4"/>
      <c r="E10" s="4"/>
      <c r="F10" s="4"/>
      <c r="I10" s="5"/>
      <c r="J10" s="5"/>
    </row>
    <row r="11" spans="1:19" s="29" customFormat="1" ht="15" customHeight="1" x14ac:dyDescent="0.25">
      <c r="D11" s="4"/>
      <c r="E11" s="4"/>
      <c r="F11" s="4"/>
      <c r="I11" s="5"/>
      <c r="J11" s="5"/>
    </row>
    <row r="12" spans="1:19" s="29" customFormat="1" ht="15" customHeight="1" x14ac:dyDescent="0.25">
      <c r="D12" s="4"/>
      <c r="E12" s="4"/>
      <c r="F12" s="4"/>
      <c r="I12" s="5"/>
      <c r="J12" s="5"/>
    </row>
    <row r="13" spans="1:19" s="29" customFormat="1" ht="15" customHeight="1" x14ac:dyDescent="0.25">
      <c r="D13" s="4"/>
      <c r="E13" s="4"/>
      <c r="F13" s="4"/>
      <c r="I13" s="5"/>
      <c r="J13" s="5"/>
    </row>
    <row r="14" spans="1:19" s="29" customFormat="1" ht="15" customHeight="1" x14ac:dyDescent="0.25">
      <c r="D14" s="4"/>
      <c r="E14" s="4"/>
      <c r="F14" s="4"/>
      <c r="I14" s="5"/>
      <c r="J14" s="5"/>
    </row>
  </sheetData>
  <mergeCells count="1">
    <mergeCell ref="K2:O2"/>
  </mergeCells>
  <conditionalFormatting sqref="A4:O13">
    <cfRule type="expression" dxfId="26" priority="1">
      <formula>AND(COUNTA($A4:$S4)&gt;0,ISBLANK(A4))</formula>
    </cfRule>
  </conditionalFormatting>
  <dataValidations count="11">
    <dataValidation type="list" showInputMessage="1" showErrorMessage="1" prompt="Max. 5 Zeichen." sqref="A4:A13" xr:uid="{20738107-E867-4BBF-9A12-37C623B83DDE}">
      <formula1>SpExpertCodes</formula1>
    </dataValidation>
    <dataValidation type="list" showErrorMessage="1" sqref="C4:C13" xr:uid="{4C9FBF17-606D-4E40-B97D-EC84004607C5}">
      <formula1>ReservoirType</formula1>
    </dataValidation>
    <dataValidation type="list" showErrorMessage="1" sqref="K4:K13" xr:uid="{7DF810B6-4C79-4DA1-AE1D-F96CC320CDF2}">
      <formula1>HeizungsspeichervolumeninLiter</formula1>
    </dataValidation>
    <dataValidation type="list" showErrorMessage="1" sqref="L4:L13" xr:uid="{12C9E54E-A3E8-41CC-9F11-D0CE410BEF29}">
      <formula1>HeizungsspeichervolumeninLiter</formula1>
    </dataValidation>
    <dataValidation type="list" showErrorMessage="1" sqref="M4:M13" xr:uid="{A3F000F1-2714-4117-B57F-383C72BF48DA}">
      <formula1>HeizungsspeichervolumeninLiter</formula1>
    </dataValidation>
    <dataValidation type="list" showErrorMessage="1" sqref="N4:N13" xr:uid="{5CE16D0C-C019-4279-9346-18DEAEA42421}">
      <formula1>HeizungsspeichervolumeninLiter</formula1>
    </dataValidation>
    <dataValidation type="list" showErrorMessage="1" sqref="O4:O13" xr:uid="{7059CEC7-61CA-4978-9371-2174C0627057}">
      <formula1>HeizungsspeichervolumeninLiter</formula1>
    </dataValidation>
    <dataValidation type="list" showErrorMessage="1" sqref="G4:G13" xr:uid="{19C1BA7A-04EB-42EE-A3A9-8D18CD447372}">
      <formula1>InOutThermalEnvelope</formula1>
    </dataValidation>
    <dataValidation type="list" showErrorMessage="1" sqref="H4:H13" xr:uid="{526C12EB-26B6-454C-A49A-35E0A7ECCD8D}">
      <formula1>Quality</formula1>
    </dataValidation>
    <dataValidation type="list" allowBlank="1" showErrorMessage="1" sqref="R4:R103" xr:uid="{0158BA92-0D25-4256-BDB6-FCC0FD8ADF42}">
      <formula1>CalculationBase_OnlyLump</formula1>
    </dataValidation>
    <dataValidation type="textLength" operator="lessThanOrEqual" allowBlank="1" showInputMessage="1" showErrorMessage="1" prompt="Max. 250 Zeichen." sqref="B4:B104" xr:uid="{88E5DFB5-E434-41AC-AB40-02500DE11957}">
      <formula1>250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2D22-FF21-49D8-86A5-CFCF4D6B7EEC}">
  <sheetPr codeName="Sheet9"/>
  <dimension ref="A1:V12"/>
  <sheetViews>
    <sheetView zoomScaleNormal="100" workbookViewId="0">
      <selection sqref="A1:P1"/>
    </sheetView>
  </sheetViews>
  <sheetFormatPr defaultColWidth="9.1796875" defaultRowHeight="15" customHeight="1" x14ac:dyDescent="0.25"/>
  <cols>
    <col min="1" max="1" width="7.54296875" style="1" customWidth="1"/>
    <col min="2" max="2" width="27.81640625" style="1" customWidth="1"/>
    <col min="3" max="3" width="9.81640625" style="1" customWidth="1"/>
    <col min="4" max="4" width="21.1796875" style="1" customWidth="1"/>
    <col min="5" max="5" width="13.7265625" style="1" customWidth="1"/>
    <col min="6" max="11" width="16.7265625" style="1" customWidth="1"/>
    <col min="12" max="12" width="14" style="1" customWidth="1"/>
    <col min="13" max="13" width="14.7265625" style="1" customWidth="1"/>
    <col min="14" max="14" width="16" style="1" customWidth="1"/>
    <col min="15" max="15" width="15" style="1" customWidth="1"/>
    <col min="16" max="16" width="12.81640625" style="1" customWidth="1"/>
    <col min="17" max="17" width="12" style="1" customWidth="1"/>
    <col min="18" max="18" width="17.1796875" style="1" customWidth="1"/>
    <col min="19" max="19" width="12.1796875" style="1" customWidth="1"/>
    <col min="20" max="20" width="19.453125" style="1" customWidth="1"/>
    <col min="21" max="21" width="14.81640625" style="1" customWidth="1"/>
    <col min="22" max="22" width="21" style="1" customWidth="1"/>
    <col min="23" max="16384" width="9.1796875" style="1"/>
  </cols>
  <sheetData>
    <row r="1" spans="1:22" ht="15" customHeight="1" thickBot="1" x14ac:dyDescent="0.3">
      <c r="A1" s="189" t="s">
        <v>72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84"/>
      <c r="R1" s="185"/>
      <c r="S1" s="185"/>
      <c r="T1" s="185"/>
      <c r="U1" s="185"/>
      <c r="V1" s="185"/>
    </row>
    <row r="2" spans="1:22" ht="15" customHeight="1" x14ac:dyDescent="0.25">
      <c r="A2" s="20"/>
      <c r="B2" s="41"/>
      <c r="C2" s="20"/>
      <c r="D2" s="42"/>
      <c r="E2" s="25"/>
      <c r="F2" s="25"/>
      <c r="G2" s="25"/>
      <c r="H2" s="42"/>
      <c r="I2" s="20"/>
      <c r="J2" s="20"/>
      <c r="K2" s="20"/>
      <c r="L2" s="20"/>
      <c r="M2" s="20"/>
      <c r="N2" s="20"/>
      <c r="O2" s="20"/>
      <c r="P2" s="20"/>
      <c r="Q2" s="20"/>
    </row>
    <row r="3" spans="1:22" ht="15" customHeight="1" x14ac:dyDescent="0.25">
      <c r="A3" s="20"/>
      <c r="B3" s="41"/>
      <c r="C3" s="191" t="s">
        <v>121</v>
      </c>
      <c r="D3" s="192"/>
      <c r="E3" s="192"/>
      <c r="F3" s="25"/>
      <c r="G3" s="25"/>
      <c r="H3" s="42"/>
      <c r="I3" s="20"/>
      <c r="J3" s="20"/>
      <c r="K3" s="20"/>
      <c r="L3" s="20"/>
      <c r="M3" s="20"/>
      <c r="N3" s="20"/>
      <c r="O3" s="20"/>
      <c r="P3" s="20"/>
      <c r="Q3" s="20"/>
    </row>
    <row r="4" spans="1:22" ht="15" customHeight="1" x14ac:dyDescent="0.25">
      <c r="A4" s="164" t="s">
        <v>342</v>
      </c>
      <c r="B4" s="183"/>
      <c r="C4" s="186"/>
      <c r="D4" s="186"/>
      <c r="E4" s="186"/>
      <c r="F4" s="25"/>
      <c r="G4" s="25"/>
      <c r="H4" s="42"/>
      <c r="I4" s="20"/>
      <c r="J4" s="20"/>
      <c r="K4" s="20"/>
      <c r="L4" s="20"/>
      <c r="M4" s="20"/>
      <c r="N4" s="20"/>
      <c r="O4" s="20"/>
      <c r="P4" s="20"/>
      <c r="Q4" s="20"/>
    </row>
    <row r="5" spans="1:22" ht="15" customHeight="1" x14ac:dyDescent="0.25">
      <c r="A5" s="193" t="s">
        <v>193</v>
      </c>
      <c r="B5" s="194"/>
      <c r="C5" s="186"/>
      <c r="D5" s="186"/>
      <c r="E5" s="186"/>
      <c r="F5" s="25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22" ht="62.25" customHeight="1" x14ac:dyDescent="0.25">
      <c r="A6" s="187" t="s">
        <v>18</v>
      </c>
      <c r="B6" s="188"/>
      <c r="C6" s="186"/>
      <c r="D6" s="186"/>
      <c r="E6" s="186"/>
      <c r="F6" s="25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22" ht="62.25" customHeight="1" x14ac:dyDescent="0.25">
      <c r="A7" s="187" t="s">
        <v>91</v>
      </c>
      <c r="B7" s="188"/>
      <c r="C7" s="186"/>
      <c r="D7" s="186"/>
      <c r="E7" s="186"/>
      <c r="F7" s="25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22" ht="30.7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22" ht="37.5" customHeight="1" x14ac:dyDescent="0.25">
      <c r="A9" s="119" t="s">
        <v>16</v>
      </c>
      <c r="B9" s="128" t="s">
        <v>27</v>
      </c>
      <c r="C9" s="128" t="s">
        <v>162</v>
      </c>
      <c r="D9" s="128" t="s">
        <v>21</v>
      </c>
      <c r="E9" s="128" t="s">
        <v>37</v>
      </c>
      <c r="F9" s="128" t="s">
        <v>122</v>
      </c>
      <c r="G9" s="128" t="s">
        <v>123</v>
      </c>
      <c r="H9" s="128" t="s">
        <v>124</v>
      </c>
      <c r="I9" s="128" t="s">
        <v>125</v>
      </c>
      <c r="J9" s="128" t="s">
        <v>126</v>
      </c>
      <c r="K9" s="128" t="s">
        <v>181</v>
      </c>
      <c r="L9" s="128" t="s">
        <v>79</v>
      </c>
      <c r="M9" s="128" t="s">
        <v>127</v>
      </c>
      <c r="N9" s="128" t="s">
        <v>128</v>
      </c>
      <c r="O9" s="128" t="s">
        <v>129</v>
      </c>
      <c r="P9" s="119" t="s">
        <v>71</v>
      </c>
      <c r="Q9" s="119" t="s">
        <v>32</v>
      </c>
      <c r="R9" s="119" t="s">
        <v>204</v>
      </c>
      <c r="S9" s="119" t="s">
        <v>205</v>
      </c>
      <c r="T9" s="119" t="s">
        <v>196</v>
      </c>
      <c r="U9" s="119" t="s">
        <v>197</v>
      </c>
      <c r="V9" s="119" t="s">
        <v>201</v>
      </c>
    </row>
    <row r="10" spans="1:22" ht="15" customHeight="1" x14ac:dyDescent="0.25">
      <c r="A10" s="43"/>
      <c r="B10" s="44"/>
      <c r="C10" s="44"/>
      <c r="D10" s="44"/>
      <c r="E10" s="44"/>
      <c r="F10" s="45"/>
      <c r="G10" s="45"/>
      <c r="H10" s="45"/>
      <c r="I10" s="45"/>
      <c r="J10" s="46"/>
      <c r="K10" s="46"/>
      <c r="L10" s="44"/>
      <c r="M10" s="44"/>
      <c r="N10" s="44"/>
      <c r="O10" s="43"/>
      <c r="P10" s="43"/>
      <c r="Q10" s="43"/>
    </row>
    <row r="11" spans="1:22" ht="15" customHeight="1" x14ac:dyDescent="0.25">
      <c r="A11" s="47"/>
      <c r="B11" s="48"/>
      <c r="C11" s="48"/>
      <c r="D11" s="48"/>
      <c r="E11" s="48"/>
      <c r="F11" s="49"/>
      <c r="G11" s="49"/>
      <c r="H11" s="49"/>
      <c r="I11" s="49"/>
      <c r="J11" s="50"/>
      <c r="K11" s="50"/>
      <c r="L11" s="48"/>
      <c r="M11" s="48"/>
      <c r="N11" s="48"/>
      <c r="O11" s="51"/>
      <c r="P11" s="51"/>
      <c r="Q11" s="51"/>
    </row>
    <row r="12" spans="1:22" ht="15" customHeight="1" x14ac:dyDescent="0.25">
      <c r="A12" s="47"/>
      <c r="B12" s="48"/>
      <c r="C12" s="48"/>
      <c r="D12" s="48"/>
      <c r="E12" s="48"/>
      <c r="F12" s="49"/>
      <c r="G12" s="49"/>
      <c r="H12" s="49"/>
      <c r="I12" s="49"/>
      <c r="J12" s="50"/>
      <c r="K12" s="50"/>
      <c r="L12" s="48"/>
      <c r="M12" s="48"/>
      <c r="N12" s="48"/>
      <c r="O12" s="51"/>
      <c r="P12" s="51"/>
      <c r="Q12" s="51"/>
    </row>
  </sheetData>
  <mergeCells count="11">
    <mergeCell ref="C5:E5"/>
    <mergeCell ref="A4:B4"/>
    <mergeCell ref="Q1:V1"/>
    <mergeCell ref="C4:E4"/>
    <mergeCell ref="A6:B6"/>
    <mergeCell ref="C6:E6"/>
    <mergeCell ref="A7:B7"/>
    <mergeCell ref="C7:E7"/>
    <mergeCell ref="A1:P1"/>
    <mergeCell ref="C3:E3"/>
    <mergeCell ref="A5:B5"/>
  </mergeCells>
  <conditionalFormatting sqref="A10:Q12">
    <cfRule type="expression" dxfId="25" priority="3" stopIfTrue="1">
      <formula>AND(COUNTA($A10:$Q10)&gt;0,ISBLANK(A10))</formula>
    </cfRule>
  </conditionalFormatting>
  <conditionalFormatting sqref="C5">
    <cfRule type="expression" dxfId="24" priority="4" stopIfTrue="1">
      <formula>LEN(TRIM(C5))=0</formula>
    </cfRule>
  </conditionalFormatting>
  <conditionalFormatting sqref="C4">
    <cfRule type="containsBlanks" dxfId="23" priority="2">
      <formula>LEN(TRIM(C4))=0</formula>
    </cfRule>
  </conditionalFormatting>
  <conditionalFormatting sqref="A10:Q12 V10:V12">
    <cfRule type="expression" dxfId="22" priority="1">
      <formula>AND(COUNTA($A10:$V10)&gt;0,ISBLANK(A10))</formula>
    </cfRule>
  </conditionalFormatting>
  <dataValidations count="17">
    <dataValidation type="list" showInputMessage="1" showErrorMessage="1" sqref="P10:P12" xr:uid="{782C8193-5F40-409D-9C9B-4C85F0B168B1}">
      <formula1>InOutThermalEnvelope</formula1>
    </dataValidation>
    <dataValidation type="list" showInputMessage="1" showErrorMessage="1" sqref="E10:E12" xr:uid="{551D792C-E463-4AF6-8139-FFF7ABC47508}">
      <formula1>HeatEmission</formula1>
    </dataValidation>
    <dataValidation type="list" showInputMessage="1" showErrorMessage="1" sqref="D10:D12" xr:uid="{F18FFA9E-8EFA-4905-A82A-DFA0D752CF6E}">
      <formula1>HeatingType</formula1>
    </dataValidation>
    <dataValidation type="list" showErrorMessage="1" sqref="C4" xr:uid="{3B29BCF8-6616-42A3-A541-06A227176E60}">
      <formula1>GeneralCondition</formula1>
    </dataValidation>
    <dataValidation type="list" allowBlank="1" showErrorMessage="1" sqref="C5" xr:uid="{88F6B3E2-D709-4501-8FBD-48D0BC48BFEA}">
      <formula1>Prioritization</formula1>
    </dataValidation>
    <dataValidation type="textLength" operator="lessThanOrEqual" allowBlank="1" showInputMessage="1" showErrorMessage="1" prompt="Max. 1000 Zeichen." sqref="C6" xr:uid="{EC1D63AD-54ED-4A12-8683-ED85BF388F1D}">
      <formula1>1000</formula1>
    </dataValidation>
    <dataValidation type="textLength" operator="lessThanOrEqual" allowBlank="1" showInputMessage="1" showErrorMessage="1" prompt="Max. 1000 Zeichen." sqref="C7" xr:uid="{2787D3E6-9E0C-4E00-8225-D2856C94749C}">
      <formula1>1000</formula1>
    </dataValidation>
    <dataValidation type="list" showInputMessage="1" prompt="Max. 5 Zeichen." sqref="A10:A109" xr:uid="{AAE60388-2825-4D91-AC10-B45649847971}">
      <formula1>WS9ExpertCodes</formula1>
    </dataValidation>
    <dataValidation type="list" showErrorMessage="1" sqref="D10:D12" xr:uid="{7008F771-12FB-469B-A1C7-E6C188EB1F67}">
      <formula1>HeatingType</formula1>
    </dataValidation>
    <dataValidation type="list" showErrorMessage="1" sqref="E10:E12" xr:uid="{4D1EB9C0-69F6-4AAD-9BAA-E1BEF0F4CBA0}">
      <formula1>HeatEmission</formula1>
    </dataValidation>
    <dataValidation type="list" showErrorMessage="1" sqref="K10:K12" xr:uid="{66578B1C-F4BD-4700-A34E-E0965310417F}">
      <formula1>ExpertCodes</formula1>
    </dataValidation>
    <dataValidation type="list" showErrorMessage="1" sqref="L10:L12" xr:uid="{6D8C35BD-EAD5-4C34-B101-5C62CDBC6DF7}">
      <formula1>PartialBool</formula1>
    </dataValidation>
    <dataValidation type="list" showErrorMessage="1" sqref="O10:O12" xr:uid="{1A690C91-6528-43F8-904E-21B7D08EC398}">
      <formula1>HeatingFlows</formula1>
    </dataValidation>
    <dataValidation type="list" showErrorMessage="1" sqref="P10:P12" xr:uid="{B776B8AD-AB1C-466E-8266-9B22C1984311}">
      <formula1>InOutThermalEnvelope</formula1>
    </dataValidation>
    <dataValidation type="list" showErrorMessage="1" sqref="Q10:Q12" xr:uid="{9525C0CE-90D0-4645-80A1-CAFA2DABA575}">
      <formula1>UnknownBool</formula1>
    </dataValidation>
    <dataValidation type="list" allowBlank="1" showErrorMessage="1" sqref="T10:T109" xr:uid="{0F9757AD-4154-42EC-AB62-2AE0C25A0B66}">
      <formula1>CalculationBase_NoMeter</formula1>
    </dataValidation>
    <dataValidation type="textLength" operator="lessThanOrEqual" allowBlank="1" showInputMessage="1" showErrorMessage="1" prompt="Max. 250 Zeichen." sqref="B10:B110" xr:uid="{9ABFF9E7-6C6B-4613-9876-CDBF4BA6A1E0}">
      <formula1>250</formula1>
    </dataValidation>
  </dataValidations>
  <pageMargins left="0.7" right="0.7" top="0.75" bottom="0.75" header="0.3" footer="0.3"/>
  <pageSetup paperSize="9" orientation="portrait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020D-407E-4570-B6A0-78EB4E2CDB70}">
  <dimension ref="A1:S12"/>
  <sheetViews>
    <sheetView zoomScaleNormal="100" workbookViewId="0"/>
  </sheetViews>
  <sheetFormatPr defaultColWidth="9.1796875" defaultRowHeight="15" customHeight="1" x14ac:dyDescent="0.25"/>
  <cols>
    <col min="1" max="1" width="7.54296875" style="1" customWidth="1"/>
    <col min="2" max="2" width="27.81640625" style="1" customWidth="1"/>
    <col min="3" max="3" width="9.81640625" style="1" customWidth="1"/>
    <col min="4" max="4" width="21.1796875" style="1" customWidth="1"/>
    <col min="5" max="9" width="16.7265625" style="1" customWidth="1"/>
    <col min="10" max="10" width="14" style="1" customWidth="1"/>
    <col min="11" max="11" width="14.7265625" style="1" customWidth="1"/>
    <col min="12" max="13" width="16" style="1" customWidth="1"/>
    <col min="14" max="14" width="12.81640625" style="1" customWidth="1"/>
    <col min="15" max="15" width="16.26953125" style="1" customWidth="1"/>
    <col min="16" max="16" width="11" style="1" customWidth="1"/>
    <col min="17" max="17" width="21.453125" style="1" customWidth="1"/>
    <col min="18" max="18" width="18.1796875" style="1" customWidth="1"/>
    <col min="19" max="19" width="23.26953125" style="1" customWidth="1"/>
    <col min="20" max="16384" width="9.1796875" style="1"/>
  </cols>
  <sheetData>
    <row r="1" spans="1:19" ht="15" customHeight="1" thickBot="1" x14ac:dyDescent="0.3">
      <c r="A1" s="127" t="s">
        <v>73</v>
      </c>
      <c r="B1" s="88"/>
      <c r="C1" s="88"/>
      <c r="D1" s="88"/>
      <c r="E1" s="88"/>
      <c r="F1" s="88"/>
      <c r="G1" s="88"/>
      <c r="H1" s="88"/>
      <c r="I1" s="88"/>
      <c r="J1" s="90"/>
      <c r="K1" s="90"/>
      <c r="L1" s="90"/>
      <c r="M1" s="90"/>
      <c r="N1" s="90"/>
      <c r="O1" s="90"/>
      <c r="P1" s="90"/>
      <c r="Q1" s="90"/>
      <c r="R1" s="90"/>
      <c r="S1" s="90"/>
    </row>
    <row r="2" spans="1:19" ht="15" customHeight="1" x14ac:dyDescent="0.25">
      <c r="A2" s="20"/>
      <c r="B2" s="41"/>
      <c r="C2" s="20"/>
      <c r="D2" s="42"/>
      <c r="E2" s="25"/>
      <c r="F2" s="25"/>
      <c r="G2" s="42"/>
      <c r="H2" s="20"/>
      <c r="I2" s="20"/>
      <c r="J2" s="20"/>
      <c r="K2" s="20"/>
      <c r="L2" s="20"/>
      <c r="M2" s="20"/>
      <c r="N2" s="20"/>
    </row>
    <row r="3" spans="1:19" ht="15" customHeight="1" x14ac:dyDescent="0.25">
      <c r="A3" s="20"/>
      <c r="B3" s="41"/>
      <c r="C3" s="191" t="s">
        <v>92</v>
      </c>
      <c r="D3" s="192"/>
      <c r="E3" s="25"/>
      <c r="F3" s="25"/>
      <c r="G3" s="42"/>
      <c r="H3" s="20"/>
      <c r="I3" s="20"/>
      <c r="J3" s="20"/>
      <c r="K3" s="20"/>
      <c r="L3" s="20"/>
      <c r="M3" s="20"/>
      <c r="N3" s="20"/>
    </row>
    <row r="4" spans="1:19" ht="15" customHeight="1" x14ac:dyDescent="0.25">
      <c r="A4" s="164" t="s">
        <v>342</v>
      </c>
      <c r="B4" s="183"/>
      <c r="C4" s="186"/>
      <c r="D4" s="186"/>
      <c r="E4" s="25"/>
      <c r="F4" s="25"/>
      <c r="G4" s="42"/>
      <c r="H4" s="20"/>
      <c r="I4" s="20"/>
      <c r="J4" s="20"/>
      <c r="K4" s="20"/>
      <c r="L4" s="20"/>
      <c r="M4" s="20"/>
      <c r="N4" s="20"/>
    </row>
    <row r="5" spans="1:19" ht="15" customHeight="1" x14ac:dyDescent="0.25">
      <c r="A5" s="193" t="s">
        <v>193</v>
      </c>
      <c r="B5" s="194"/>
      <c r="C5" s="186"/>
      <c r="D5" s="186"/>
      <c r="E5" s="25"/>
      <c r="F5" s="20"/>
      <c r="G5" s="20"/>
      <c r="H5" s="20"/>
      <c r="I5" s="20"/>
      <c r="J5" s="20"/>
      <c r="K5" s="20"/>
      <c r="L5" s="20"/>
      <c r="M5" s="20"/>
      <c r="N5" s="20"/>
    </row>
    <row r="6" spans="1:19" ht="62.25" customHeight="1" x14ac:dyDescent="0.25">
      <c r="A6" s="187" t="s">
        <v>18</v>
      </c>
      <c r="B6" s="188"/>
      <c r="C6" s="186"/>
      <c r="D6" s="186"/>
      <c r="E6" s="25"/>
      <c r="F6" s="20"/>
      <c r="G6" s="20"/>
      <c r="H6" s="20"/>
      <c r="I6" s="20"/>
      <c r="J6" s="20"/>
      <c r="K6" s="20"/>
      <c r="L6" s="20"/>
      <c r="M6" s="20"/>
      <c r="N6" s="20"/>
    </row>
    <row r="7" spans="1:19" ht="62.25" customHeight="1" x14ac:dyDescent="0.25">
      <c r="A7" s="187" t="s">
        <v>91</v>
      </c>
      <c r="B7" s="188"/>
      <c r="C7" s="186"/>
      <c r="D7" s="186"/>
      <c r="E7" s="25"/>
      <c r="F7" s="20"/>
      <c r="G7" s="20"/>
      <c r="H7" s="20"/>
      <c r="I7" s="20"/>
      <c r="J7" s="20"/>
      <c r="K7" s="20"/>
      <c r="L7" s="20"/>
      <c r="M7" s="20"/>
      <c r="N7" s="20"/>
    </row>
    <row r="8" spans="1:19" ht="27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9" ht="37.5" customHeight="1" x14ac:dyDescent="0.25">
      <c r="A9" s="119" t="s">
        <v>16</v>
      </c>
      <c r="B9" s="128" t="s">
        <v>27</v>
      </c>
      <c r="C9" s="128" t="s">
        <v>162</v>
      </c>
      <c r="D9" s="128" t="s">
        <v>21</v>
      </c>
      <c r="E9" s="128" t="s">
        <v>122</v>
      </c>
      <c r="F9" s="128" t="s">
        <v>123</v>
      </c>
      <c r="G9" s="128" t="s">
        <v>124</v>
      </c>
      <c r="H9" s="128" t="s">
        <v>125</v>
      </c>
      <c r="I9" s="128" t="s">
        <v>126</v>
      </c>
      <c r="J9" s="128" t="s">
        <v>79</v>
      </c>
      <c r="K9" s="128" t="s">
        <v>127</v>
      </c>
      <c r="L9" s="128" t="s">
        <v>128</v>
      </c>
      <c r="M9" s="128" t="s">
        <v>170</v>
      </c>
      <c r="N9" s="119" t="s">
        <v>71</v>
      </c>
      <c r="O9" s="119" t="s">
        <v>204</v>
      </c>
      <c r="P9" s="119" t="s">
        <v>205</v>
      </c>
      <c r="Q9" s="119" t="s">
        <v>196</v>
      </c>
      <c r="R9" s="119" t="s">
        <v>197</v>
      </c>
      <c r="S9" s="119" t="s">
        <v>201</v>
      </c>
    </row>
    <row r="10" spans="1:19" ht="15" customHeight="1" x14ac:dyDescent="0.25">
      <c r="A10" s="47"/>
      <c r="B10" s="48"/>
      <c r="C10" s="48"/>
      <c r="D10" s="48"/>
      <c r="E10" s="49"/>
      <c r="F10" s="49"/>
      <c r="G10" s="49"/>
      <c r="H10" s="49"/>
      <c r="I10" s="50"/>
      <c r="J10" s="48"/>
      <c r="K10" s="48"/>
      <c r="L10" s="48"/>
      <c r="M10" s="48"/>
      <c r="N10" s="47"/>
    </row>
    <row r="11" spans="1:19" ht="15" customHeight="1" x14ac:dyDescent="0.25">
      <c r="A11" s="47"/>
      <c r="B11" s="48"/>
      <c r="C11" s="48"/>
      <c r="D11" s="48"/>
      <c r="E11" s="49"/>
      <c r="F11" s="49"/>
      <c r="G11" s="49"/>
      <c r="H11" s="49"/>
      <c r="I11" s="50"/>
      <c r="J11" s="48"/>
      <c r="K11" s="48"/>
      <c r="L11" s="48"/>
      <c r="M11" s="48"/>
      <c r="N11" s="51"/>
    </row>
    <row r="12" spans="1:19" ht="15" customHeight="1" x14ac:dyDescent="0.25">
      <c r="A12" s="47"/>
      <c r="B12" s="48"/>
      <c r="C12" s="48"/>
      <c r="D12" s="48"/>
      <c r="E12" s="49"/>
      <c r="F12" s="49"/>
      <c r="G12" s="49"/>
      <c r="H12" s="49"/>
      <c r="I12" s="50"/>
      <c r="J12" s="48"/>
      <c r="K12" s="48"/>
      <c r="L12" s="48"/>
      <c r="M12" s="48"/>
      <c r="N12" s="51"/>
    </row>
  </sheetData>
  <mergeCells count="9">
    <mergeCell ref="C4:D4"/>
    <mergeCell ref="A7:B7"/>
    <mergeCell ref="C7:D7"/>
    <mergeCell ref="C3:D3"/>
    <mergeCell ref="A5:B5"/>
    <mergeCell ref="C5:D5"/>
    <mergeCell ref="A6:B6"/>
    <mergeCell ref="C6:D6"/>
    <mergeCell ref="A4:B4"/>
  </mergeCells>
  <conditionalFormatting sqref="C5">
    <cfRule type="expression" dxfId="21" priority="11" stopIfTrue="1">
      <formula>LEN(TRIM(C5))=0</formula>
    </cfRule>
  </conditionalFormatting>
  <conditionalFormatting sqref="A10:N12">
    <cfRule type="expression" dxfId="20" priority="12" stopIfTrue="1">
      <formula>AND(COUNTA($A10:$N10)&gt;0,ISBLANK(A10))</formula>
    </cfRule>
  </conditionalFormatting>
  <conditionalFormatting sqref="C4">
    <cfRule type="containsBlanks" dxfId="19" priority="10">
      <formula>LEN(TRIM(C4))=0</formula>
    </cfRule>
  </conditionalFormatting>
  <conditionalFormatting sqref="A10:N12 S10:S12">
    <cfRule type="expression" dxfId="18" priority="2">
      <formula>AND(COUNTA($A10:$S10)&gt;0,ISBLANK(A10))</formula>
    </cfRule>
  </conditionalFormatting>
  <dataValidations count="14">
    <dataValidation type="list" showInputMessage="1" showErrorMessage="1" sqref="D10:D12" xr:uid="{6513A83F-D6A8-4FF6-A963-2EC3DBDF9120}">
      <formula1>HeatingType</formula1>
    </dataValidation>
    <dataValidation type="list" showInputMessage="1" showErrorMessage="1" sqref="N10:N12" xr:uid="{28315406-CA41-4E7C-9B96-97037D002BF8}">
      <formula1>InOutThermalEnvelope</formula1>
    </dataValidation>
    <dataValidation type="list" showInputMessage="1" showErrorMessage="1" sqref="M10" xr:uid="{E70D875B-2F0C-4A07-B4A9-723BC786D5D4}">
      <formula1>WarmWaterWarmKeeping</formula1>
    </dataValidation>
    <dataValidation type="list" showErrorMessage="1" sqref="C4" xr:uid="{B5433E09-7EA1-431A-A21D-2E0DDE26C1E3}">
      <formula1>GeneralCondition</formula1>
    </dataValidation>
    <dataValidation type="list" allowBlank="1" showErrorMessage="1" sqref="C5" xr:uid="{8D37AB0F-1CD1-4E82-A2C0-698D87B71048}">
      <formula1>Prioritization</formula1>
    </dataValidation>
    <dataValidation type="textLength" operator="lessThanOrEqual" allowBlank="1" showInputMessage="1" showErrorMessage="1" prompt="Max. 1000 Zeichen." sqref="C6" xr:uid="{9A40D6C8-01F7-4A88-BD68-F07158CB1DB0}">
      <formula1>1000</formula1>
    </dataValidation>
    <dataValidation type="textLength" operator="lessThanOrEqual" allowBlank="1" showInputMessage="1" showErrorMessage="1" prompt="Max. 1000 Zeichen." sqref="C7" xr:uid="{3330578B-391C-44A0-BB1F-5D297F211A77}">
      <formula1>1000</formula1>
    </dataValidation>
    <dataValidation type="list" showInputMessage="1" prompt="Max. 5 Zeichen." sqref="A10:A109" xr:uid="{3C5C4086-52D0-4116-8A6E-6D7B7AC17591}">
      <formula1>WS10ExpertCodes</formula1>
    </dataValidation>
    <dataValidation type="list" showErrorMessage="1" sqref="D10:D12" xr:uid="{27F98681-5359-4D7B-A656-4BE90AB8C82C}">
      <formula1>HeatingType</formula1>
    </dataValidation>
    <dataValidation type="list" showErrorMessage="1" sqref="J10:J12" xr:uid="{3F5A65C4-37B9-44F7-AA73-EC85A9878CCD}">
      <formula1>PartialBool</formula1>
    </dataValidation>
    <dataValidation type="list" showErrorMessage="1" sqref="M10:M12" xr:uid="{F4A5B783-F26B-44A0-8F7D-6FADC4DEF0CF}">
      <formula1>WarmWaterWarmKeeping</formula1>
    </dataValidation>
    <dataValidation type="list" showErrorMessage="1" sqref="N10:N12" xr:uid="{2143203E-439D-466B-A7DB-CD7E217A2384}">
      <formula1>InOutThermalEnvelope</formula1>
    </dataValidation>
    <dataValidation type="list" showErrorMessage="1" sqref="Q10:Q12" xr:uid="{3D08FD8B-005D-4476-B7F3-FF0A6F100242}">
      <formula1>CalculationBase_NoMeter</formula1>
    </dataValidation>
    <dataValidation type="textLength" operator="lessThanOrEqual" allowBlank="1" showInputMessage="1" showErrorMessage="1" prompt="Max. 250 Zeichen." sqref="B10:B110" xr:uid="{96B2747A-3F57-4468-A8E4-50406C0D8F10}">
      <formula1>250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3341-B336-4399-A846-08B6586988DD}">
  <sheetPr codeName="Sheet10"/>
  <dimension ref="A1:F8"/>
  <sheetViews>
    <sheetView zoomScaleNormal="100" workbookViewId="0">
      <selection sqref="A1:E1"/>
    </sheetView>
  </sheetViews>
  <sheetFormatPr defaultColWidth="9.1796875" defaultRowHeight="15" customHeight="1" x14ac:dyDescent="0.25"/>
  <cols>
    <col min="1" max="1" width="23.54296875" style="1" customWidth="1"/>
    <col min="2" max="2" width="19.1796875" style="1" bestFit="1" customWidth="1"/>
    <col min="3" max="3" width="21.7265625" style="1" customWidth="1"/>
    <col min="4" max="4" width="15.7265625" style="1" customWidth="1"/>
    <col min="5" max="5" width="20.7265625" style="1" customWidth="1"/>
    <col min="6" max="6" width="19.453125" style="1" bestFit="1" customWidth="1"/>
    <col min="7" max="16384" width="9.1796875" style="1"/>
  </cols>
  <sheetData>
    <row r="1" spans="1:6" ht="15" customHeight="1" thickBot="1" x14ac:dyDescent="0.3">
      <c r="A1" s="195" t="s">
        <v>130</v>
      </c>
      <c r="B1" s="196"/>
      <c r="C1" s="196"/>
      <c r="D1" s="196"/>
      <c r="E1" s="197"/>
      <c r="F1" s="2"/>
    </row>
    <row r="2" spans="1:6" ht="15" customHeight="1" x14ac:dyDescent="0.25">
      <c r="F2" s="2"/>
    </row>
    <row r="3" spans="1:6" s="34" customFormat="1" ht="34.5" customHeight="1" x14ac:dyDescent="0.25">
      <c r="A3" s="126" t="s">
        <v>28</v>
      </c>
      <c r="B3" s="126" t="s">
        <v>64</v>
      </c>
      <c r="C3" s="126" t="s">
        <v>34</v>
      </c>
      <c r="D3" s="126" t="s">
        <v>39</v>
      </c>
      <c r="E3" s="126" t="s">
        <v>40</v>
      </c>
    </row>
    <row r="4" spans="1:6" ht="15" customHeight="1" x14ac:dyDescent="0.25">
      <c r="A4" s="2"/>
      <c r="B4" s="22"/>
      <c r="C4" s="2"/>
      <c r="D4" s="23"/>
      <c r="E4" s="23"/>
    </row>
    <row r="5" spans="1:6" ht="15" customHeight="1" x14ac:dyDescent="0.25">
      <c r="A5" s="2"/>
      <c r="B5" s="22"/>
      <c r="C5" s="2"/>
      <c r="D5" s="23"/>
      <c r="E5" s="23"/>
    </row>
    <row r="6" spans="1:6" ht="15" customHeight="1" x14ac:dyDescent="0.25">
      <c r="A6" s="2"/>
      <c r="B6" s="22"/>
      <c r="C6" s="2"/>
      <c r="D6" s="23"/>
      <c r="E6" s="23"/>
    </row>
    <row r="7" spans="1:6" ht="15" customHeight="1" x14ac:dyDescent="0.25">
      <c r="A7" s="2"/>
      <c r="B7" s="22"/>
      <c r="C7" s="2"/>
      <c r="D7" s="23"/>
      <c r="E7" s="23"/>
    </row>
    <row r="8" spans="1:6" ht="15" customHeight="1" x14ac:dyDescent="0.25">
      <c r="A8" s="2"/>
      <c r="B8" s="22"/>
      <c r="C8" s="2"/>
      <c r="D8" s="23"/>
      <c r="E8" s="23"/>
    </row>
  </sheetData>
  <mergeCells count="1">
    <mergeCell ref="A1:E1"/>
  </mergeCells>
  <conditionalFormatting sqref="A4:E8">
    <cfRule type="expression" dxfId="17" priority="1">
      <formula>AND(COUNTA($A4:$E4)&gt;0,ISBLANK(A4))</formula>
    </cfRule>
  </conditionalFormatting>
  <dataValidations count="2">
    <dataValidation type="list" showErrorMessage="1" sqref="A4:A8" xr:uid="{4314F298-5AD5-409C-B711-5D8D84551558}">
      <formula1>EnergySources</formula1>
    </dataValidation>
    <dataValidation type="list" showErrorMessage="1" sqref="C4:C8" xr:uid="{0358D9FB-A362-4501-8502-73FDCA6EF299}">
      <formula1>HeatUnit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C970-6380-4265-9B33-AADAFD5B6584}">
  <sheetPr codeName="Sheet11"/>
  <dimension ref="A1:P25"/>
  <sheetViews>
    <sheetView zoomScaleNormal="100" workbookViewId="0"/>
  </sheetViews>
  <sheetFormatPr defaultColWidth="9.1796875" defaultRowHeight="15" customHeight="1" x14ac:dyDescent="0.25"/>
  <cols>
    <col min="1" max="1" width="8.453125" style="1" customWidth="1"/>
    <col min="2" max="2" width="30" style="1" customWidth="1"/>
    <col min="3" max="3" width="22.26953125" style="1" customWidth="1"/>
    <col min="4" max="4" width="31.81640625" style="1" customWidth="1"/>
    <col min="5" max="5" width="14.81640625" style="1" customWidth="1"/>
    <col min="6" max="6" width="16.81640625" style="1" customWidth="1"/>
    <col min="7" max="7" width="15.81640625" style="1" customWidth="1"/>
    <col min="8" max="10" width="9.7265625" style="1" customWidth="1"/>
    <col min="11" max="11" width="8.1796875" style="1" bestFit="1" customWidth="1"/>
    <col min="12" max="12" width="15.453125" style="1" customWidth="1"/>
    <col min="13" max="13" width="18.26953125" style="1" customWidth="1"/>
    <col min="14" max="14" width="13.26953125" style="1" customWidth="1"/>
    <col min="15" max="15" width="21.81640625" style="1" customWidth="1"/>
    <col min="16" max="16" width="20.81640625" style="1" customWidth="1"/>
    <col min="17" max="16384" width="9.1796875" style="1"/>
  </cols>
  <sheetData>
    <row r="1" spans="1:16" s="198" customFormat="1" ht="15" customHeight="1" thickBot="1" x14ac:dyDescent="0.3">
      <c r="A1" s="178" t="s">
        <v>59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</row>
    <row r="2" spans="1:16" ht="15" customHeight="1" x14ac:dyDescent="0.25">
      <c r="H2" s="24"/>
    </row>
    <row r="3" spans="1:16" ht="15" customHeight="1" x14ac:dyDescent="0.25">
      <c r="A3" s="164" t="s">
        <v>342</v>
      </c>
      <c r="B3" s="183"/>
      <c r="C3" s="186"/>
      <c r="D3" s="186"/>
      <c r="E3" s="186"/>
      <c r="H3" s="24"/>
    </row>
    <row r="4" spans="1:16" ht="15" customHeight="1" x14ac:dyDescent="0.25">
      <c r="A4" s="157" t="s">
        <v>193</v>
      </c>
      <c r="B4" s="208"/>
      <c r="C4" s="199"/>
      <c r="D4" s="200"/>
      <c r="E4" s="201"/>
      <c r="H4" s="24"/>
    </row>
    <row r="5" spans="1:16" ht="62.25" customHeight="1" x14ac:dyDescent="0.25">
      <c r="A5" s="170" t="s">
        <v>18</v>
      </c>
      <c r="B5" s="209"/>
      <c r="C5" s="202"/>
      <c r="D5" s="203"/>
      <c r="E5" s="204"/>
      <c r="H5" s="24"/>
    </row>
    <row r="6" spans="1:16" ht="62.25" customHeight="1" x14ac:dyDescent="0.25">
      <c r="A6" s="170" t="s">
        <v>91</v>
      </c>
      <c r="B6" s="209"/>
      <c r="C6" s="202"/>
      <c r="D6" s="203"/>
      <c r="E6" s="204"/>
      <c r="H6" s="24"/>
    </row>
    <row r="7" spans="1:16" ht="15" customHeight="1" x14ac:dyDescent="0.25">
      <c r="H7" s="24"/>
    </row>
    <row r="8" spans="1:16" ht="15" customHeight="1" x14ac:dyDescent="0.25">
      <c r="H8" s="205" t="s">
        <v>67</v>
      </c>
      <c r="I8" s="206"/>
      <c r="J8" s="207"/>
    </row>
    <row r="9" spans="1:16" s="34" customFormat="1" ht="34.5" customHeight="1" x14ac:dyDescent="0.25">
      <c r="A9" s="119" t="s">
        <v>16</v>
      </c>
      <c r="B9" s="129" t="s">
        <v>27</v>
      </c>
      <c r="C9" s="129" t="s">
        <v>161</v>
      </c>
      <c r="D9" s="129" t="s">
        <v>21</v>
      </c>
      <c r="E9" s="129" t="s">
        <v>53</v>
      </c>
      <c r="F9" s="129" t="s">
        <v>54</v>
      </c>
      <c r="G9" s="129" t="s">
        <v>201</v>
      </c>
      <c r="H9" s="129" t="s">
        <v>68</v>
      </c>
      <c r="I9" s="129" t="s">
        <v>69</v>
      </c>
      <c r="J9" s="129" t="s">
        <v>70</v>
      </c>
      <c r="K9" s="129" t="s">
        <v>119</v>
      </c>
      <c r="L9" s="129" t="s">
        <v>718</v>
      </c>
      <c r="M9" s="119" t="s">
        <v>204</v>
      </c>
      <c r="N9" s="119" t="s">
        <v>205</v>
      </c>
      <c r="O9" s="119" t="s">
        <v>196</v>
      </c>
      <c r="P9" s="119" t="s">
        <v>197</v>
      </c>
    </row>
    <row r="10" spans="1:16" ht="15" customHeight="1" x14ac:dyDescent="0.25">
      <c r="F10" s="21"/>
      <c r="G10" s="21"/>
      <c r="H10" s="24"/>
      <c r="I10" s="24"/>
      <c r="J10" s="24"/>
      <c r="K10" s="4"/>
    </row>
    <row r="11" spans="1:16" ht="15" customHeight="1" x14ac:dyDescent="0.25">
      <c r="F11" s="21"/>
      <c r="G11" s="21"/>
      <c r="H11" s="24"/>
      <c r="I11" s="24"/>
      <c r="J11" s="24"/>
      <c r="K11" s="4"/>
    </row>
    <row r="12" spans="1:16" ht="15" customHeight="1" x14ac:dyDescent="0.25">
      <c r="F12" s="21"/>
      <c r="G12" s="21"/>
      <c r="H12" s="24"/>
      <c r="I12" s="24"/>
      <c r="J12" s="24"/>
      <c r="K12" s="4"/>
    </row>
    <row r="13" spans="1:16" ht="15" customHeight="1" x14ac:dyDescent="0.25">
      <c r="F13" s="21"/>
      <c r="G13" s="21"/>
      <c r="H13" s="24"/>
      <c r="I13" s="24"/>
      <c r="J13" s="24"/>
      <c r="K13" s="4"/>
    </row>
    <row r="14" spans="1:16" ht="15" customHeight="1" x14ac:dyDescent="0.25">
      <c r="F14" s="21"/>
      <c r="G14" s="21"/>
      <c r="H14" s="24"/>
      <c r="I14" s="24"/>
      <c r="J14" s="24"/>
      <c r="K14" s="4"/>
    </row>
    <row r="15" spans="1:16" ht="15" customHeight="1" x14ac:dyDescent="0.25">
      <c r="F15" s="21"/>
      <c r="G15" s="21"/>
      <c r="H15" s="24"/>
      <c r="I15" s="24"/>
      <c r="J15" s="24"/>
      <c r="K15" s="4"/>
    </row>
    <row r="16" spans="1:16" ht="15" customHeight="1" x14ac:dyDescent="0.25">
      <c r="F16" s="21"/>
      <c r="G16" s="21"/>
      <c r="H16" s="24"/>
      <c r="I16" s="24"/>
      <c r="J16" s="24"/>
      <c r="K16" s="4"/>
    </row>
    <row r="17" spans="6:11" ht="15" customHeight="1" x14ac:dyDescent="0.25">
      <c r="F17" s="21"/>
      <c r="G17" s="21"/>
      <c r="H17" s="24"/>
      <c r="I17" s="24"/>
      <c r="J17" s="24"/>
      <c r="K17" s="4"/>
    </row>
    <row r="18" spans="6:11" ht="15" customHeight="1" x14ac:dyDescent="0.25">
      <c r="F18" s="21"/>
      <c r="G18" s="21"/>
      <c r="H18" s="24"/>
      <c r="I18" s="24"/>
      <c r="J18" s="24"/>
      <c r="K18" s="4"/>
    </row>
    <row r="19" spans="6:11" ht="15" customHeight="1" x14ac:dyDescent="0.25">
      <c r="F19" s="21"/>
      <c r="G19" s="21"/>
      <c r="H19" s="24"/>
      <c r="I19" s="24"/>
      <c r="J19" s="24"/>
      <c r="K19" s="4"/>
    </row>
    <row r="20" spans="6:11" ht="15" customHeight="1" x14ac:dyDescent="0.25">
      <c r="F20" s="21"/>
      <c r="G20" s="21"/>
      <c r="H20" s="24"/>
      <c r="I20" s="24"/>
      <c r="J20" s="24"/>
      <c r="K20" s="4"/>
    </row>
    <row r="21" spans="6:11" ht="15" customHeight="1" x14ac:dyDescent="0.25">
      <c r="F21" s="21"/>
      <c r="G21" s="21"/>
      <c r="H21" s="24"/>
      <c r="I21" s="24"/>
      <c r="J21" s="24"/>
      <c r="K21" s="4"/>
    </row>
    <row r="22" spans="6:11" ht="15" customHeight="1" x14ac:dyDescent="0.25">
      <c r="F22" s="21"/>
      <c r="G22" s="21"/>
      <c r="H22" s="24"/>
      <c r="I22" s="24"/>
      <c r="J22" s="24"/>
      <c r="K22" s="4"/>
    </row>
    <row r="23" spans="6:11" ht="15" customHeight="1" x14ac:dyDescent="0.25">
      <c r="F23" s="21"/>
      <c r="G23" s="21"/>
      <c r="H23" s="24"/>
      <c r="I23" s="24"/>
      <c r="J23" s="24"/>
      <c r="K23" s="4"/>
    </row>
    <row r="24" spans="6:11" ht="15" customHeight="1" x14ac:dyDescent="0.25">
      <c r="F24" s="21"/>
      <c r="G24" s="21"/>
      <c r="H24" s="24"/>
      <c r="I24" s="24"/>
      <c r="J24" s="24"/>
      <c r="K24" s="4"/>
    </row>
    <row r="25" spans="6:11" ht="15" customHeight="1" x14ac:dyDescent="0.25">
      <c r="F25" s="21"/>
      <c r="G25" s="21"/>
      <c r="H25" s="24"/>
      <c r="I25" s="24"/>
      <c r="J25" s="24"/>
      <c r="K25" s="4"/>
    </row>
  </sheetData>
  <mergeCells count="10">
    <mergeCell ref="A1:XFD1"/>
    <mergeCell ref="C3:E3"/>
    <mergeCell ref="C4:E4"/>
    <mergeCell ref="C5:E5"/>
    <mergeCell ref="C6:E6"/>
    <mergeCell ref="H8:J8"/>
    <mergeCell ref="A4:B4"/>
    <mergeCell ref="A5:B5"/>
    <mergeCell ref="A6:B6"/>
    <mergeCell ref="A3:B3"/>
  </mergeCells>
  <conditionalFormatting sqref="C3">
    <cfRule type="containsBlanks" dxfId="16" priority="2">
      <formula>LEN(TRIM(C3))=0</formula>
    </cfRule>
  </conditionalFormatting>
  <conditionalFormatting sqref="A10:L109">
    <cfRule type="expression" dxfId="15" priority="1">
      <formula>AND(COUNTA($A10:$P10)&gt;0,ISBLANK(A10))</formula>
    </cfRule>
  </conditionalFormatting>
  <dataValidations count="12">
    <dataValidation type="textLength" operator="lessThan" allowBlank="1" showInputMessage="1" showErrorMessage="1" prompt="Max. 220 Zeichen. BItte ohne Sonderzeichen wie  ;  /  " sqref="F6" xr:uid="{D6D361D4-4116-49D4-9F41-99E7E6FA0573}">
      <formula1>220</formula1>
    </dataValidation>
    <dataValidation type="list" showErrorMessage="1" sqref="C3" xr:uid="{2D080AB3-C0AB-4FF1-965B-AC5A612CAC5E}">
      <formula1>GeneralCondition</formula1>
    </dataValidation>
    <dataValidation type="list" allowBlank="1" showErrorMessage="1" sqref="C4" xr:uid="{A1CA4C39-4C89-4BD1-8027-D1E187A5D7EB}">
      <formula1>Prioritization</formula1>
    </dataValidation>
    <dataValidation type="textLength" operator="lessThanOrEqual" allowBlank="1" showInputMessage="1" showErrorMessage="1" prompt="Max. 1000 Zeichen." sqref="C5" xr:uid="{B8BDE72A-8687-4F5B-B03F-B79E4D68907A}">
      <formula1>1000</formula1>
    </dataValidation>
    <dataValidation type="textLength" operator="lessThanOrEqual" allowBlank="1" showInputMessage="1" showErrorMessage="1" prompt="Max. 1000 Zeichen." sqref="C6" xr:uid="{6FEBE154-E859-46F6-96CF-654DCB7E58B4}">
      <formula1>1000</formula1>
    </dataValidation>
    <dataValidation type="list" showInputMessage="1" prompt="Max. 5 Zeichen." sqref="A10:A109" xr:uid="{5D0524E0-6A93-48F8-AF0E-CF80E7D17956}">
      <formula1>WS12ExpertCodes</formula1>
    </dataValidation>
    <dataValidation type="list" showErrorMessage="1" sqref="C10:C100" xr:uid="{4BA90A88-2D28-4BEA-A314-D8F0DE1CA7FF}">
      <formula1>BuildingUsageTypeSelection</formula1>
    </dataValidation>
    <dataValidation type="list" showErrorMessage="1" sqref="D10:D100" xr:uid="{EC380096-91B2-4C58-90A6-16BA8EA8A279}">
      <formula1>Devices</formula1>
    </dataValidation>
    <dataValidation type="list" showErrorMessage="1" sqref="E10:E109" xr:uid="{480A2327-FCDB-4D78-9C6F-82D10E55BD31}">
      <formula1>DeviceQuality</formula1>
    </dataValidation>
    <dataValidation type="list" showErrorMessage="1" sqref="L10:L109" xr:uid="{E8F64820-55B7-40A8-878D-31A3E2986430}">
      <formula1>Boolean</formula1>
    </dataValidation>
    <dataValidation type="list" allowBlank="1" showErrorMessage="1" sqref="O10:O109" xr:uid="{1C63324B-80A0-4C89-BBD6-94B9B5FD2848}">
      <formula1>CalculationBase_NoMeter</formula1>
    </dataValidation>
    <dataValidation type="textLength" operator="lessThanOrEqual" allowBlank="1" showInputMessage="1" showErrorMessage="1" prompt="Max. 250 Zeichen." sqref="B10:B110" xr:uid="{89D18E6B-A64D-4C22-8239-EA83930DAF85}">
      <formula1>250</formula1>
    </dataValidation>
  </dataValidations>
  <pageMargins left="0.7" right="0.7" top="0.75" bottom="0.75" header="0.3" footer="0.3"/>
  <pageSetup paperSize="9" orientation="portrait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622A-09F6-4FF6-8321-ACA78032C619}">
  <dimension ref="A1:O24"/>
  <sheetViews>
    <sheetView zoomScaleNormal="100" workbookViewId="0"/>
  </sheetViews>
  <sheetFormatPr defaultColWidth="9.1796875" defaultRowHeight="15" customHeight="1" x14ac:dyDescent="0.25"/>
  <cols>
    <col min="1" max="1" width="8.453125" style="1" customWidth="1"/>
    <col min="2" max="3" width="27.7265625" style="1" customWidth="1"/>
    <col min="4" max="4" width="25.54296875" style="1" customWidth="1"/>
    <col min="5" max="5" width="10.54296875" style="1" customWidth="1"/>
    <col min="6" max="6" width="14.81640625" style="1" customWidth="1"/>
    <col min="7" max="7" width="15.81640625" style="1" customWidth="1"/>
    <col min="8" max="10" width="9.7265625" style="1" customWidth="1"/>
    <col min="11" max="11" width="15.453125" style="1" customWidth="1"/>
    <col min="12" max="12" width="15.54296875" style="1" customWidth="1"/>
    <col min="13" max="13" width="12.26953125" style="1" customWidth="1"/>
    <col min="14" max="14" width="19.453125" style="1" customWidth="1"/>
    <col min="15" max="15" width="15" style="1" customWidth="1"/>
    <col min="16" max="16384" width="9.1796875" style="1"/>
  </cols>
  <sheetData>
    <row r="1" spans="1:15" s="198" customFormat="1" ht="15" customHeight="1" thickBot="1" x14ac:dyDescent="0.3">
      <c r="A1" s="178" t="s">
        <v>133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</row>
    <row r="2" spans="1:15" ht="15" customHeight="1" x14ac:dyDescent="0.25">
      <c r="H2" s="24"/>
    </row>
    <row r="3" spans="1:15" ht="37.5" customHeight="1" x14ac:dyDescent="0.25">
      <c r="A3" s="52"/>
      <c r="H3" s="210" t="s">
        <v>67</v>
      </c>
      <c r="I3" s="206"/>
      <c r="J3" s="207"/>
    </row>
    <row r="4" spans="1:15" s="34" customFormat="1" ht="34.5" customHeight="1" x14ac:dyDescent="0.25">
      <c r="A4" s="119" t="s">
        <v>16</v>
      </c>
      <c r="B4" s="129" t="s">
        <v>27</v>
      </c>
      <c r="C4" s="129" t="s">
        <v>161</v>
      </c>
      <c r="D4" s="129" t="s">
        <v>21</v>
      </c>
      <c r="E4" s="129" t="s">
        <v>162</v>
      </c>
      <c r="F4" s="129" t="s">
        <v>56</v>
      </c>
      <c r="G4" s="129" t="s">
        <v>201</v>
      </c>
      <c r="H4" s="129" t="s">
        <v>68</v>
      </c>
      <c r="I4" s="129" t="s">
        <v>69</v>
      </c>
      <c r="J4" s="129" t="s">
        <v>70</v>
      </c>
      <c r="K4" s="129" t="s">
        <v>718</v>
      </c>
      <c r="L4" s="119" t="s">
        <v>204</v>
      </c>
      <c r="M4" s="119" t="s">
        <v>205</v>
      </c>
      <c r="N4" s="119" t="s">
        <v>196</v>
      </c>
      <c r="O4" s="119" t="s">
        <v>197</v>
      </c>
    </row>
    <row r="5" spans="1:15" ht="15" customHeight="1" x14ac:dyDescent="0.25">
      <c r="G5" s="21"/>
      <c r="H5" s="24"/>
      <c r="I5" s="24"/>
      <c r="J5" s="24"/>
    </row>
    <row r="6" spans="1:15" ht="15" customHeight="1" x14ac:dyDescent="0.25">
      <c r="G6" s="21"/>
      <c r="H6" s="24"/>
      <c r="I6" s="24"/>
      <c r="J6" s="24"/>
    </row>
    <row r="7" spans="1:15" ht="15" customHeight="1" x14ac:dyDescent="0.25">
      <c r="G7" s="21"/>
      <c r="H7" s="24"/>
      <c r="I7" s="24"/>
      <c r="J7" s="24"/>
    </row>
    <row r="8" spans="1:15" ht="15" customHeight="1" x14ac:dyDescent="0.25">
      <c r="G8" s="21"/>
      <c r="H8" s="24"/>
      <c r="I8" s="24"/>
      <c r="J8" s="24"/>
    </row>
    <row r="9" spans="1:15" ht="15" customHeight="1" x14ac:dyDescent="0.25">
      <c r="G9" s="21"/>
      <c r="H9" s="24"/>
      <c r="I9" s="24"/>
      <c r="J9" s="24"/>
    </row>
    <row r="10" spans="1:15" ht="15" customHeight="1" x14ac:dyDescent="0.25">
      <c r="G10" s="21"/>
      <c r="H10" s="24"/>
      <c r="I10" s="24"/>
      <c r="J10" s="24"/>
    </row>
    <row r="11" spans="1:15" ht="15" customHeight="1" x14ac:dyDescent="0.25">
      <c r="G11" s="21"/>
      <c r="H11" s="24"/>
      <c r="I11" s="24"/>
      <c r="J11" s="24"/>
    </row>
    <row r="12" spans="1:15" ht="15" customHeight="1" x14ac:dyDescent="0.25">
      <c r="G12" s="21"/>
      <c r="H12" s="24"/>
      <c r="I12" s="24"/>
      <c r="J12" s="24"/>
    </row>
    <row r="13" spans="1:15" ht="15" customHeight="1" x14ac:dyDescent="0.25">
      <c r="G13" s="21"/>
      <c r="H13" s="24"/>
      <c r="I13" s="24"/>
      <c r="J13" s="24"/>
    </row>
    <row r="14" spans="1:15" ht="15" customHeight="1" x14ac:dyDescent="0.25">
      <c r="G14" s="21"/>
      <c r="H14" s="24"/>
      <c r="I14" s="24"/>
      <c r="J14" s="24"/>
    </row>
    <row r="15" spans="1:15" ht="15" customHeight="1" x14ac:dyDescent="0.25">
      <c r="G15" s="21"/>
      <c r="H15" s="24"/>
      <c r="I15" s="24"/>
      <c r="J15" s="24"/>
    </row>
    <row r="16" spans="1:15" ht="15" customHeight="1" x14ac:dyDescent="0.25">
      <c r="G16" s="21"/>
      <c r="H16" s="24"/>
      <c r="I16" s="24"/>
      <c r="J16" s="24"/>
    </row>
    <row r="17" spans="7:10" ht="15" customHeight="1" x14ac:dyDescent="0.25">
      <c r="G17" s="21"/>
      <c r="H17" s="24"/>
      <c r="I17" s="24"/>
      <c r="J17" s="24"/>
    </row>
    <row r="18" spans="7:10" ht="15" customHeight="1" x14ac:dyDescent="0.25">
      <c r="G18" s="21"/>
      <c r="H18" s="24"/>
      <c r="I18" s="24"/>
      <c r="J18" s="24"/>
    </row>
    <row r="19" spans="7:10" ht="15" customHeight="1" x14ac:dyDescent="0.25">
      <c r="G19" s="21"/>
      <c r="H19" s="24"/>
      <c r="I19" s="24"/>
      <c r="J19" s="24"/>
    </row>
    <row r="20" spans="7:10" ht="15" customHeight="1" x14ac:dyDescent="0.25">
      <c r="G20" s="21"/>
      <c r="H20" s="24"/>
      <c r="I20" s="24"/>
      <c r="J20" s="24"/>
    </row>
    <row r="21" spans="7:10" ht="15" customHeight="1" x14ac:dyDescent="0.25">
      <c r="G21" s="21"/>
      <c r="H21" s="24"/>
      <c r="I21" s="24"/>
      <c r="J21" s="24"/>
    </row>
    <row r="22" spans="7:10" ht="15" customHeight="1" x14ac:dyDescent="0.25">
      <c r="G22" s="21"/>
      <c r="H22" s="24"/>
      <c r="I22" s="24"/>
      <c r="J22" s="24"/>
    </row>
    <row r="23" spans="7:10" ht="15" customHeight="1" x14ac:dyDescent="0.25">
      <c r="G23" s="21"/>
      <c r="H23" s="24"/>
      <c r="I23" s="24"/>
      <c r="J23" s="24"/>
    </row>
    <row r="24" spans="7:10" ht="15" customHeight="1" x14ac:dyDescent="0.25">
      <c r="G24" s="21"/>
      <c r="H24" s="24"/>
      <c r="I24" s="24"/>
      <c r="J24" s="24"/>
    </row>
  </sheetData>
  <mergeCells count="2">
    <mergeCell ref="H3:J3"/>
    <mergeCell ref="A1:XFD1"/>
  </mergeCells>
  <conditionalFormatting sqref="A5:K104">
    <cfRule type="expression" dxfId="14" priority="1">
      <formula>AND(COUNTA($A5:$O5)&gt;0,ISBLANK(A5))</formula>
    </cfRule>
  </conditionalFormatting>
  <dataValidations count="106">
    <dataValidation type="list" showInputMessage="1" prompt="Max. 5 Zeichen." sqref="A5:A104" xr:uid="{E1F39D0A-6F4C-4146-A72E-D16E5856B3BA}">
      <formula1>WS13ExpertCodes</formula1>
    </dataValidation>
    <dataValidation type="list" showErrorMessage="1" sqref="C5:C100" xr:uid="{A9725087-F296-49F7-AEF4-3F16C90CD93C}">
      <formula1>BuildingUsageTypeSelection</formula1>
    </dataValidation>
    <dataValidation type="list" showErrorMessage="1" sqref="D5" xr:uid="{9DB63752-3420-47BD-B7A3-CBC5364C1086}">
      <formula1>INDIRECT(SUBSTITUTE(SUBSTITUTE(SUBSTITUTE(C5," ",""),".",""),"/",""))</formula1>
    </dataValidation>
    <dataValidation type="list" showErrorMessage="1" sqref="D6" xr:uid="{AB8374DA-FA4D-47A1-8EDA-7CC4EA7D90DE}">
      <formula1>INDIRECT(SUBSTITUTE(SUBSTITUTE(SUBSTITUTE(C6," ",""),".",""),"/",""))</formula1>
    </dataValidation>
    <dataValidation type="list" showErrorMessage="1" sqref="D7" xr:uid="{17E8BCF1-5ECB-4ECC-A0B4-2855DA49A04E}">
      <formula1>INDIRECT(SUBSTITUTE(SUBSTITUTE(SUBSTITUTE(C7," ",""),".",""),"/",""))</formula1>
    </dataValidation>
    <dataValidation type="list" showErrorMessage="1" sqref="D8" xr:uid="{116A7F27-73FE-4596-B2FF-3AE3119E87EB}">
      <formula1>INDIRECT(SUBSTITUTE(SUBSTITUTE(SUBSTITUTE(C8," ",""),".",""),"/",""))</formula1>
    </dataValidation>
    <dataValidation type="list" showErrorMessage="1" sqref="D9" xr:uid="{EEB0E1D7-2DE2-45FB-9392-ADF9C1D14AD9}">
      <formula1>INDIRECT(SUBSTITUTE(SUBSTITUTE(SUBSTITUTE(C9," ",""),".",""),"/",""))</formula1>
    </dataValidation>
    <dataValidation type="list" showErrorMessage="1" sqref="D10" xr:uid="{D5421492-B964-45CD-91BA-EB83C0273DB0}">
      <formula1>INDIRECT(SUBSTITUTE(SUBSTITUTE(SUBSTITUTE(C10," ",""),".",""),"/",""))</formula1>
    </dataValidation>
    <dataValidation type="list" showErrorMessage="1" sqref="D11" xr:uid="{BFC51429-6B0C-42E4-A5F3-B1B29912FBD6}">
      <formula1>INDIRECT(SUBSTITUTE(SUBSTITUTE(SUBSTITUTE(C11," ",""),".",""),"/",""))</formula1>
    </dataValidation>
    <dataValidation type="list" showErrorMessage="1" sqref="D12" xr:uid="{02CDAAE6-BECA-4692-8690-0302756B1AED}">
      <formula1>INDIRECT(SUBSTITUTE(SUBSTITUTE(SUBSTITUTE(C12," ",""),".",""),"/",""))</formula1>
    </dataValidation>
    <dataValidation type="list" showErrorMessage="1" sqref="D13" xr:uid="{CFD40971-827B-4FC8-8951-DBCA2771D5DD}">
      <formula1>INDIRECT(SUBSTITUTE(SUBSTITUTE(SUBSTITUTE(C13," ",""),".",""),"/",""))</formula1>
    </dataValidation>
    <dataValidation type="list" showErrorMessage="1" sqref="D14" xr:uid="{7AAAC38C-2510-44AC-9835-B8BD9840EAF8}">
      <formula1>INDIRECT(SUBSTITUTE(SUBSTITUTE(SUBSTITUTE(C14," ",""),".",""),"/",""))</formula1>
    </dataValidation>
    <dataValidation type="list" showErrorMessage="1" sqref="D15" xr:uid="{423E52B0-DC93-4661-8EB6-21E460E414E6}">
      <formula1>INDIRECT(SUBSTITUTE(SUBSTITUTE(SUBSTITUTE(C15," ",""),".",""),"/",""))</formula1>
    </dataValidation>
    <dataValidation type="list" showErrorMessage="1" sqref="D16" xr:uid="{C472FEB1-9B42-416F-8E5C-B0AE3CDBC627}">
      <formula1>INDIRECT(SUBSTITUTE(SUBSTITUTE(SUBSTITUTE(C16," ",""),".",""),"/",""))</formula1>
    </dataValidation>
    <dataValidation type="list" showErrorMessage="1" sqref="D17" xr:uid="{EBC5477A-9C34-48CC-AB22-069CEFC6E3DA}">
      <formula1>INDIRECT(SUBSTITUTE(SUBSTITUTE(SUBSTITUTE(C17," ",""),".",""),"/",""))</formula1>
    </dataValidation>
    <dataValidation type="list" showErrorMessage="1" sqref="D18" xr:uid="{795CBFDA-265A-4419-B98B-747CDC2A21A2}">
      <formula1>INDIRECT(SUBSTITUTE(SUBSTITUTE(SUBSTITUTE(C18," ",""),".",""),"/",""))</formula1>
    </dataValidation>
    <dataValidation type="list" showErrorMessage="1" sqref="D19" xr:uid="{2AA53233-C09B-4ADA-B47E-1EC84790F519}">
      <formula1>INDIRECT(SUBSTITUTE(SUBSTITUTE(SUBSTITUTE(C19," ",""),".",""),"/",""))</formula1>
    </dataValidation>
    <dataValidation type="list" showErrorMessage="1" sqref="D20" xr:uid="{A0A975A9-B3B4-4631-9F41-35C56E4F3C2E}">
      <formula1>INDIRECT(SUBSTITUTE(SUBSTITUTE(SUBSTITUTE(C20," ",""),".",""),"/",""))</formula1>
    </dataValidation>
    <dataValidation type="list" showErrorMessage="1" sqref="D21" xr:uid="{CE64BB52-2EC2-4A2B-8AF4-8DD47CF9B6F1}">
      <formula1>INDIRECT(SUBSTITUTE(SUBSTITUTE(SUBSTITUTE(C21," ",""),".",""),"/",""))</formula1>
    </dataValidation>
    <dataValidation type="list" showErrorMessage="1" sqref="D22" xr:uid="{BFB5A670-361D-4104-A0DF-51E60AC5C642}">
      <formula1>INDIRECT(SUBSTITUTE(SUBSTITUTE(SUBSTITUTE(C22," ",""),".",""),"/",""))</formula1>
    </dataValidation>
    <dataValidation type="list" showErrorMessage="1" sqref="D23" xr:uid="{7D39704E-CCBB-4448-8DE0-8129C35CA820}">
      <formula1>INDIRECT(SUBSTITUTE(SUBSTITUTE(SUBSTITUTE(C23," ",""),".",""),"/",""))</formula1>
    </dataValidation>
    <dataValidation type="list" showErrorMessage="1" sqref="D24" xr:uid="{F7D3B48D-6FED-4D42-809C-3E42F9B17541}">
      <formula1>INDIRECT(SUBSTITUTE(SUBSTITUTE(SUBSTITUTE(C24," ",""),".",""),"/",""))</formula1>
    </dataValidation>
    <dataValidation type="list" showErrorMessage="1" sqref="D25" xr:uid="{16554D75-DDC3-4D0E-AD3D-B27B89D763BB}">
      <formula1>INDIRECT(SUBSTITUTE(SUBSTITUTE(SUBSTITUTE(C25," ",""),".",""),"/",""))</formula1>
    </dataValidation>
    <dataValidation type="list" showErrorMessage="1" sqref="D26" xr:uid="{A57AE04A-4902-49CA-88F0-86DFC68DDCDD}">
      <formula1>INDIRECT(SUBSTITUTE(SUBSTITUTE(SUBSTITUTE(C26," ",""),".",""),"/",""))</formula1>
    </dataValidation>
    <dataValidation type="list" showErrorMessage="1" sqref="D27" xr:uid="{B1B21AE3-383D-40D6-9670-10B5715E6C2B}">
      <formula1>INDIRECT(SUBSTITUTE(SUBSTITUTE(SUBSTITUTE(C27," ",""),".",""),"/",""))</formula1>
    </dataValidation>
    <dataValidation type="list" showErrorMessage="1" sqref="D28" xr:uid="{39A16DBA-301B-4B4A-A7E0-94AC0708D8A5}">
      <formula1>INDIRECT(SUBSTITUTE(SUBSTITUTE(SUBSTITUTE(C28," ",""),".",""),"/",""))</formula1>
    </dataValidation>
    <dataValidation type="list" showErrorMessage="1" sqref="D29" xr:uid="{703E8722-9461-4547-AE46-197F32E946BB}">
      <formula1>INDIRECT(SUBSTITUTE(SUBSTITUTE(SUBSTITUTE(C29," ",""),".",""),"/",""))</formula1>
    </dataValidation>
    <dataValidation type="list" showErrorMessage="1" sqref="D30" xr:uid="{8ABEC143-30E6-4A2D-AD78-029E0A85A0E3}">
      <formula1>INDIRECT(SUBSTITUTE(SUBSTITUTE(SUBSTITUTE(C30," ",""),".",""),"/",""))</formula1>
    </dataValidation>
    <dataValidation type="list" showErrorMessage="1" sqref="D31" xr:uid="{128FFB64-F374-4798-8DD6-F77274011F43}">
      <formula1>INDIRECT(SUBSTITUTE(SUBSTITUTE(SUBSTITUTE(C31," ",""),".",""),"/",""))</formula1>
    </dataValidation>
    <dataValidation type="list" showErrorMessage="1" sqref="D32" xr:uid="{CEC47E7F-D4EB-4F2F-BC5A-E29D07623E40}">
      <formula1>INDIRECT(SUBSTITUTE(SUBSTITUTE(SUBSTITUTE(C32," ",""),".",""),"/",""))</formula1>
    </dataValidation>
    <dataValidation type="list" showErrorMessage="1" sqref="D33" xr:uid="{11C036E5-82C8-4CD7-88E8-A2036FE5BDB0}">
      <formula1>INDIRECT(SUBSTITUTE(SUBSTITUTE(SUBSTITUTE(C33," ",""),".",""),"/",""))</formula1>
    </dataValidation>
    <dataValidation type="list" showErrorMessage="1" sqref="D34" xr:uid="{82417985-95C2-4E37-9141-5244A45534EF}">
      <formula1>INDIRECT(SUBSTITUTE(SUBSTITUTE(SUBSTITUTE(C34," ",""),".",""),"/",""))</formula1>
    </dataValidation>
    <dataValidation type="list" showErrorMessage="1" sqref="D35" xr:uid="{923C2907-EBB5-471C-8ABE-98AB01BFDA37}">
      <formula1>INDIRECT(SUBSTITUTE(SUBSTITUTE(SUBSTITUTE(C35," ",""),".",""),"/",""))</formula1>
    </dataValidation>
    <dataValidation type="list" showErrorMessage="1" sqref="D36" xr:uid="{F685FE83-A428-4BBC-A9DE-18DB785E539F}">
      <formula1>INDIRECT(SUBSTITUTE(SUBSTITUTE(SUBSTITUTE(C36," ",""),".",""),"/",""))</formula1>
    </dataValidation>
    <dataValidation type="list" showErrorMessage="1" sqref="D37" xr:uid="{7291F296-B420-4B1F-BFD8-E976B45490E2}">
      <formula1>INDIRECT(SUBSTITUTE(SUBSTITUTE(SUBSTITUTE(C37," ",""),".",""),"/",""))</formula1>
    </dataValidation>
    <dataValidation type="list" showErrorMessage="1" sqref="D38" xr:uid="{7572C595-447B-4BB1-A282-184ED12AD2A9}">
      <formula1>INDIRECT(SUBSTITUTE(SUBSTITUTE(SUBSTITUTE(C38," ",""),".",""),"/",""))</formula1>
    </dataValidation>
    <dataValidation type="list" showErrorMessage="1" sqref="D39" xr:uid="{65547FA6-7AF9-49AB-A510-A1B86F3590B5}">
      <formula1>INDIRECT(SUBSTITUTE(SUBSTITUTE(SUBSTITUTE(C39," ",""),".",""),"/",""))</formula1>
    </dataValidation>
    <dataValidation type="list" showErrorMessage="1" sqref="D40" xr:uid="{6DD8A85C-EEDD-41EC-AF9F-7C61348D29C1}">
      <formula1>INDIRECT(SUBSTITUTE(SUBSTITUTE(SUBSTITUTE(C40," ",""),".",""),"/",""))</formula1>
    </dataValidation>
    <dataValidation type="list" showErrorMessage="1" sqref="D41" xr:uid="{911E52B6-2B47-4FBE-A731-24D2F4335AF9}">
      <formula1>INDIRECT(SUBSTITUTE(SUBSTITUTE(SUBSTITUTE(C41," ",""),".",""),"/",""))</formula1>
    </dataValidation>
    <dataValidation type="list" showErrorMessage="1" sqref="D42" xr:uid="{6E9E7979-F7D5-4A36-9FAC-17DB701BFC7C}">
      <formula1>INDIRECT(SUBSTITUTE(SUBSTITUTE(SUBSTITUTE(C42," ",""),".",""),"/",""))</formula1>
    </dataValidation>
    <dataValidation type="list" showErrorMessage="1" sqref="D43" xr:uid="{FDEDC89A-18E7-4EF1-9775-72D2A513991B}">
      <formula1>INDIRECT(SUBSTITUTE(SUBSTITUTE(SUBSTITUTE(C43," ",""),".",""),"/",""))</formula1>
    </dataValidation>
    <dataValidation type="list" showErrorMessage="1" sqref="D44" xr:uid="{C868AC38-39E6-4C2F-95E7-F378E6ACBC04}">
      <formula1>INDIRECT(SUBSTITUTE(SUBSTITUTE(SUBSTITUTE(C44," ",""),".",""),"/",""))</formula1>
    </dataValidation>
    <dataValidation type="list" showErrorMessage="1" sqref="D45" xr:uid="{D22E909D-CF01-45F9-BC44-B0FA9A37832D}">
      <formula1>INDIRECT(SUBSTITUTE(SUBSTITUTE(SUBSTITUTE(C45," ",""),".",""),"/",""))</formula1>
    </dataValidation>
    <dataValidation type="list" showErrorMessage="1" sqref="D46" xr:uid="{B1799E6B-EEF9-4ACA-99B9-E7BBBFE07C18}">
      <formula1>INDIRECT(SUBSTITUTE(SUBSTITUTE(SUBSTITUTE(C46," ",""),".",""),"/",""))</formula1>
    </dataValidation>
    <dataValidation type="list" showErrorMessage="1" sqref="D47" xr:uid="{847B2AB5-5CFE-4FDB-A6AB-34C09E7155D8}">
      <formula1>INDIRECT(SUBSTITUTE(SUBSTITUTE(SUBSTITUTE(C47," ",""),".",""),"/",""))</formula1>
    </dataValidation>
    <dataValidation type="list" showErrorMessage="1" sqref="D48" xr:uid="{BDE93F37-3734-40B5-B3CA-A331BC36E2BB}">
      <formula1>INDIRECT(SUBSTITUTE(SUBSTITUTE(SUBSTITUTE(C48," ",""),".",""),"/",""))</formula1>
    </dataValidation>
    <dataValidation type="list" showErrorMessage="1" sqref="D49" xr:uid="{B8325F58-64D5-49E5-9D58-DA2B15DFA168}">
      <formula1>INDIRECT(SUBSTITUTE(SUBSTITUTE(SUBSTITUTE(C49," ",""),".",""),"/",""))</formula1>
    </dataValidation>
    <dataValidation type="list" showErrorMessage="1" sqref="D50" xr:uid="{BE8C4AE4-85DE-4B71-A54A-C5DFC90D40E7}">
      <formula1>INDIRECT(SUBSTITUTE(SUBSTITUTE(SUBSTITUTE(C50," ",""),".",""),"/",""))</formula1>
    </dataValidation>
    <dataValidation type="list" showErrorMessage="1" sqref="D51" xr:uid="{22D9AAF5-4C53-4011-886E-5D65AF42E2C6}">
      <formula1>INDIRECT(SUBSTITUTE(SUBSTITUTE(SUBSTITUTE(C51," ",""),".",""),"/",""))</formula1>
    </dataValidation>
    <dataValidation type="list" showErrorMessage="1" sqref="D52" xr:uid="{69707D76-AA0A-4BA7-8A91-A3C315C4C739}">
      <formula1>INDIRECT(SUBSTITUTE(SUBSTITUTE(SUBSTITUTE(C52," ",""),".",""),"/",""))</formula1>
    </dataValidation>
    <dataValidation type="list" showErrorMessage="1" sqref="D53" xr:uid="{151E3011-127B-4486-821F-39E27772F269}">
      <formula1>INDIRECT(SUBSTITUTE(SUBSTITUTE(SUBSTITUTE(C53," ",""),".",""),"/",""))</formula1>
    </dataValidation>
    <dataValidation type="list" showErrorMessage="1" sqref="D54" xr:uid="{9D3C0D6A-86CC-4A29-B1D7-3FF6AC63C95B}">
      <formula1>INDIRECT(SUBSTITUTE(SUBSTITUTE(SUBSTITUTE(C54," ",""),".",""),"/",""))</formula1>
    </dataValidation>
    <dataValidation type="list" showErrorMessage="1" sqref="D55" xr:uid="{94A0C396-A9DE-4EED-9BE8-75AC954A8308}">
      <formula1>INDIRECT(SUBSTITUTE(SUBSTITUTE(SUBSTITUTE(C55," ",""),".",""),"/",""))</formula1>
    </dataValidation>
    <dataValidation type="list" showErrorMessage="1" sqref="D56" xr:uid="{307412D2-F1A0-418A-B85C-720DFEA1F464}">
      <formula1>INDIRECT(SUBSTITUTE(SUBSTITUTE(SUBSTITUTE(C56," ",""),".",""),"/",""))</formula1>
    </dataValidation>
    <dataValidation type="list" showErrorMessage="1" sqref="D57" xr:uid="{A0925964-C08D-4237-AC42-0ABEB26E7930}">
      <formula1>INDIRECT(SUBSTITUTE(SUBSTITUTE(SUBSTITUTE(C57," ",""),".",""),"/",""))</formula1>
    </dataValidation>
    <dataValidation type="list" showErrorMessage="1" sqref="D58" xr:uid="{78B9DE2F-04CA-48B5-863C-F473D4625AE3}">
      <formula1>INDIRECT(SUBSTITUTE(SUBSTITUTE(SUBSTITUTE(C58," ",""),".",""),"/",""))</formula1>
    </dataValidation>
    <dataValidation type="list" showErrorMessage="1" sqref="D59" xr:uid="{EA33F181-1DBE-486C-A928-6C617067A44D}">
      <formula1>INDIRECT(SUBSTITUTE(SUBSTITUTE(SUBSTITUTE(C59," ",""),".",""),"/",""))</formula1>
    </dataValidation>
    <dataValidation type="list" showErrorMessage="1" sqref="D60" xr:uid="{9EA5C86E-20CF-47AD-92D8-DE235361750A}">
      <formula1>INDIRECT(SUBSTITUTE(SUBSTITUTE(SUBSTITUTE(C60," ",""),".",""),"/",""))</formula1>
    </dataValidation>
    <dataValidation type="list" showErrorMessage="1" sqref="D61" xr:uid="{6179F37C-E8E1-47E9-934F-6C038D485B08}">
      <formula1>INDIRECT(SUBSTITUTE(SUBSTITUTE(SUBSTITUTE(C61," ",""),".",""),"/",""))</formula1>
    </dataValidation>
    <dataValidation type="list" showErrorMessage="1" sqref="D62" xr:uid="{6AB4303E-5D33-46C0-9949-54D191F77E58}">
      <formula1>INDIRECT(SUBSTITUTE(SUBSTITUTE(SUBSTITUTE(C62," ",""),".",""),"/",""))</formula1>
    </dataValidation>
    <dataValidation type="list" showErrorMessage="1" sqref="D63" xr:uid="{4B7F34EA-2119-411E-BBB4-D0604BFDB8AC}">
      <formula1>INDIRECT(SUBSTITUTE(SUBSTITUTE(SUBSTITUTE(C63," ",""),".",""),"/",""))</formula1>
    </dataValidation>
    <dataValidation type="list" showErrorMessage="1" sqref="D64" xr:uid="{882549A4-746F-4F8A-9C7B-10DD9B82C08D}">
      <formula1>INDIRECT(SUBSTITUTE(SUBSTITUTE(SUBSTITUTE(C64," ",""),".",""),"/",""))</formula1>
    </dataValidation>
    <dataValidation type="list" showErrorMessage="1" sqref="D65" xr:uid="{B217B953-6CC8-472F-8E4B-DE3062C2E136}">
      <formula1>INDIRECT(SUBSTITUTE(SUBSTITUTE(SUBSTITUTE(C65," ",""),".",""),"/",""))</formula1>
    </dataValidation>
    <dataValidation type="list" showErrorMessage="1" sqref="D66" xr:uid="{CBF55EE9-0903-4993-9307-974D1BC4B0DD}">
      <formula1>INDIRECT(SUBSTITUTE(SUBSTITUTE(SUBSTITUTE(C66," ",""),".",""),"/",""))</formula1>
    </dataValidation>
    <dataValidation type="list" showErrorMessage="1" sqref="D67" xr:uid="{1AB5979D-526F-4AF2-8809-908748AA4D6E}">
      <formula1>INDIRECT(SUBSTITUTE(SUBSTITUTE(SUBSTITUTE(C67," ",""),".",""),"/",""))</formula1>
    </dataValidation>
    <dataValidation type="list" showErrorMessage="1" sqref="D68" xr:uid="{0E7FBC84-8C57-4BF7-9FDD-A23487CC1643}">
      <formula1>INDIRECT(SUBSTITUTE(SUBSTITUTE(SUBSTITUTE(C68," ",""),".",""),"/",""))</formula1>
    </dataValidation>
    <dataValidation type="list" showErrorMessage="1" sqref="D69" xr:uid="{2D0E641B-9D6B-4E55-927E-91B1A1F43F54}">
      <formula1>INDIRECT(SUBSTITUTE(SUBSTITUTE(SUBSTITUTE(C69," ",""),".",""),"/",""))</formula1>
    </dataValidation>
    <dataValidation type="list" showErrorMessage="1" sqref="D70" xr:uid="{13DC8165-AE37-464B-84C1-CDC90B24F808}">
      <formula1>INDIRECT(SUBSTITUTE(SUBSTITUTE(SUBSTITUTE(C70," ",""),".",""),"/",""))</formula1>
    </dataValidation>
    <dataValidation type="list" showErrorMessage="1" sqref="D71" xr:uid="{5889194A-CBC5-4994-A7B1-6956120C7F84}">
      <formula1>INDIRECT(SUBSTITUTE(SUBSTITUTE(SUBSTITUTE(C71," ",""),".",""),"/",""))</formula1>
    </dataValidation>
    <dataValidation type="list" showErrorMessage="1" sqref="D72" xr:uid="{43901F9F-A3C5-4B3D-AACD-EEE8AB4CE664}">
      <formula1>INDIRECT(SUBSTITUTE(SUBSTITUTE(SUBSTITUTE(C72," ",""),".",""),"/",""))</formula1>
    </dataValidation>
    <dataValidation type="list" showErrorMessage="1" sqref="D73" xr:uid="{A545C706-91D3-4519-8F9F-6497EDA8A1E5}">
      <formula1>INDIRECT(SUBSTITUTE(SUBSTITUTE(SUBSTITUTE(C73," ",""),".",""),"/",""))</formula1>
    </dataValidation>
    <dataValidation type="list" showErrorMessage="1" sqref="D74" xr:uid="{F473E872-5EF7-46EC-8263-D0A0782690AB}">
      <formula1>INDIRECT(SUBSTITUTE(SUBSTITUTE(SUBSTITUTE(C74," ",""),".",""),"/",""))</formula1>
    </dataValidation>
    <dataValidation type="list" showErrorMessage="1" sqref="D75" xr:uid="{58D1BCA3-EE22-4C25-A942-3532EF2904A5}">
      <formula1>INDIRECT(SUBSTITUTE(SUBSTITUTE(SUBSTITUTE(C75," ",""),".",""),"/",""))</formula1>
    </dataValidation>
    <dataValidation type="list" showErrorMessage="1" sqref="D76" xr:uid="{A7B00CA3-12CD-4B22-B031-37AAA234D1CE}">
      <formula1>INDIRECT(SUBSTITUTE(SUBSTITUTE(SUBSTITUTE(C76," ",""),".",""),"/",""))</formula1>
    </dataValidation>
    <dataValidation type="list" showErrorMessage="1" sqref="D77" xr:uid="{61711071-E320-4CC1-85E0-9FA2995A74E5}">
      <formula1>INDIRECT(SUBSTITUTE(SUBSTITUTE(SUBSTITUTE(C77," ",""),".",""),"/",""))</formula1>
    </dataValidation>
    <dataValidation type="list" showErrorMessage="1" sqref="D78" xr:uid="{89941CF3-B711-425B-A94D-D12A9BF364C8}">
      <formula1>INDIRECT(SUBSTITUTE(SUBSTITUTE(SUBSTITUTE(C78," ",""),".",""),"/",""))</formula1>
    </dataValidation>
    <dataValidation type="list" showErrorMessage="1" sqref="D79" xr:uid="{CF2BA20B-E5FD-4573-B028-5618752CE7BB}">
      <formula1>INDIRECT(SUBSTITUTE(SUBSTITUTE(SUBSTITUTE(C79," ",""),".",""),"/",""))</formula1>
    </dataValidation>
    <dataValidation type="list" showErrorMessage="1" sqref="D80" xr:uid="{4447235A-FD5D-41CC-A588-8EC2D91D240F}">
      <formula1>INDIRECT(SUBSTITUTE(SUBSTITUTE(SUBSTITUTE(C80," ",""),".",""),"/",""))</formula1>
    </dataValidation>
    <dataValidation type="list" showErrorMessage="1" sqref="D81" xr:uid="{DCB3700A-C419-487A-A7EA-452B4E39BCC7}">
      <formula1>INDIRECT(SUBSTITUTE(SUBSTITUTE(SUBSTITUTE(C81," ",""),".",""),"/",""))</formula1>
    </dataValidation>
    <dataValidation type="list" showErrorMessage="1" sqref="D82" xr:uid="{6347684D-7F3C-4D07-B907-A233054D05BF}">
      <formula1>INDIRECT(SUBSTITUTE(SUBSTITUTE(SUBSTITUTE(C82," ",""),".",""),"/",""))</formula1>
    </dataValidation>
    <dataValidation type="list" showErrorMessage="1" sqref="D83" xr:uid="{E40A382D-C539-42BB-AAAF-2E2A963279D3}">
      <formula1>INDIRECT(SUBSTITUTE(SUBSTITUTE(SUBSTITUTE(C83," ",""),".",""),"/",""))</formula1>
    </dataValidation>
    <dataValidation type="list" showErrorMessage="1" sqref="D84" xr:uid="{5B888F35-6842-4107-A434-9B4B620A723A}">
      <formula1>INDIRECT(SUBSTITUTE(SUBSTITUTE(SUBSTITUTE(C84," ",""),".",""),"/",""))</formula1>
    </dataValidation>
    <dataValidation type="list" showErrorMessage="1" sqref="D85" xr:uid="{FD95807B-02FC-4C64-992D-E2CAB632B456}">
      <formula1>INDIRECT(SUBSTITUTE(SUBSTITUTE(SUBSTITUTE(C85," ",""),".",""),"/",""))</formula1>
    </dataValidation>
    <dataValidation type="list" showErrorMessage="1" sqref="D86" xr:uid="{442B212E-4D5C-44DC-82C6-76BC84129E26}">
      <formula1>INDIRECT(SUBSTITUTE(SUBSTITUTE(SUBSTITUTE(C86," ",""),".",""),"/",""))</formula1>
    </dataValidation>
    <dataValidation type="list" showErrorMessage="1" sqref="D87" xr:uid="{42B6398F-72E6-4C02-8B9F-D531FD37ADEB}">
      <formula1>INDIRECT(SUBSTITUTE(SUBSTITUTE(SUBSTITUTE(C87," ",""),".",""),"/",""))</formula1>
    </dataValidation>
    <dataValidation type="list" showErrorMessage="1" sqref="D88" xr:uid="{DC3217B0-2EA7-4581-8E18-22F5F6E03F94}">
      <formula1>INDIRECT(SUBSTITUTE(SUBSTITUTE(SUBSTITUTE(C88," ",""),".",""),"/",""))</formula1>
    </dataValidation>
    <dataValidation type="list" showErrorMessage="1" sqref="D89" xr:uid="{E3699577-0B96-4C9E-BFEC-49EAA4942F49}">
      <formula1>INDIRECT(SUBSTITUTE(SUBSTITUTE(SUBSTITUTE(C89," ",""),".",""),"/",""))</formula1>
    </dataValidation>
    <dataValidation type="list" showErrorMessage="1" sqref="D90" xr:uid="{8FD95C7E-2809-48B2-93C2-7C3C28B23F0A}">
      <formula1>INDIRECT(SUBSTITUTE(SUBSTITUTE(SUBSTITUTE(C90," ",""),".",""),"/",""))</formula1>
    </dataValidation>
    <dataValidation type="list" showErrorMessage="1" sqref="D91" xr:uid="{99139CC8-4FE7-42C2-9A56-1EA5CCE5F07F}">
      <formula1>INDIRECT(SUBSTITUTE(SUBSTITUTE(SUBSTITUTE(C91," ",""),".",""),"/",""))</formula1>
    </dataValidation>
    <dataValidation type="list" showErrorMessage="1" sqref="D92" xr:uid="{F6411175-AA84-457D-B1AE-B9A32919919A}">
      <formula1>INDIRECT(SUBSTITUTE(SUBSTITUTE(SUBSTITUTE(C92," ",""),".",""),"/",""))</formula1>
    </dataValidation>
    <dataValidation type="list" showErrorMessage="1" sqref="D93" xr:uid="{80624A31-711F-4E49-81B6-D17F2D64F97F}">
      <formula1>INDIRECT(SUBSTITUTE(SUBSTITUTE(SUBSTITUTE(C93," ",""),".",""),"/",""))</formula1>
    </dataValidation>
    <dataValidation type="list" showErrorMessage="1" sqref="D94" xr:uid="{807681F3-B6A5-42CB-9DC0-A3C3A55A1048}">
      <formula1>INDIRECT(SUBSTITUTE(SUBSTITUTE(SUBSTITUTE(C94," ",""),".",""),"/",""))</formula1>
    </dataValidation>
    <dataValidation type="list" showErrorMessage="1" sqref="D95" xr:uid="{BBB71E09-2982-413D-BFA6-DEC92B9D34A1}">
      <formula1>INDIRECT(SUBSTITUTE(SUBSTITUTE(SUBSTITUTE(C95," ",""),".",""),"/",""))</formula1>
    </dataValidation>
    <dataValidation type="list" showErrorMessage="1" sqref="D96" xr:uid="{80A4F038-D63E-4395-B86A-86274B206F63}">
      <formula1>INDIRECT(SUBSTITUTE(SUBSTITUTE(SUBSTITUTE(C96," ",""),".",""),"/",""))</formula1>
    </dataValidation>
    <dataValidation type="list" showErrorMessage="1" sqref="D97" xr:uid="{572DEFFA-29F4-4589-8E55-FAA72219D2D1}">
      <formula1>INDIRECT(SUBSTITUTE(SUBSTITUTE(SUBSTITUTE(C97," ",""),".",""),"/",""))</formula1>
    </dataValidation>
    <dataValidation type="list" showErrorMessage="1" sqref="D98" xr:uid="{0DDD1680-0BDD-41A4-9EA4-2618F8B831D0}">
      <formula1>INDIRECT(SUBSTITUTE(SUBSTITUTE(SUBSTITUTE(C98," ",""),".",""),"/",""))</formula1>
    </dataValidation>
    <dataValidation type="list" showErrorMessage="1" sqref="D99" xr:uid="{6553A36D-C402-4877-9310-1302C792B3A4}">
      <formula1>INDIRECT(SUBSTITUTE(SUBSTITUTE(SUBSTITUTE(C99," ",""),".",""),"/",""))</formula1>
    </dataValidation>
    <dataValidation type="list" showErrorMessage="1" sqref="D100" xr:uid="{5F988F0B-5921-44D7-939E-D8A937489B11}">
      <formula1>INDIRECT(SUBSTITUTE(SUBSTITUTE(SUBSTITUTE(C100," ",""),".",""),"/",""))</formula1>
    </dataValidation>
    <dataValidation type="list" showErrorMessage="1" sqref="D101" xr:uid="{C70410F2-3959-4456-A138-77283552CCC3}">
      <formula1>INDIRECT(SUBSTITUTE(SUBSTITUTE(SUBSTITUTE(C101," ",""),".",""),"/",""))</formula1>
    </dataValidation>
    <dataValidation type="list" showErrorMessage="1" sqref="D102" xr:uid="{DE2BA2FF-EC83-464B-93DB-F9BD36EEF4C8}">
      <formula1>INDIRECT(SUBSTITUTE(SUBSTITUTE(SUBSTITUTE(C102," ",""),".",""),"/",""))</formula1>
    </dataValidation>
    <dataValidation type="list" showErrorMessage="1" sqref="D103" xr:uid="{F66F62DE-4C6C-489C-8CEC-860BBD4FEC5A}">
      <formula1>INDIRECT(SUBSTITUTE(SUBSTITUTE(SUBSTITUTE(C103," ",""),".",""),"/",""))</formula1>
    </dataValidation>
    <dataValidation type="list" showErrorMessage="1" sqref="D104" xr:uid="{883BB725-9CCA-41DF-996A-B4847250CB7F}">
      <formula1>INDIRECT(SUBSTITUTE(SUBSTITUTE(SUBSTITUTE(C104," ",""),".",""),"/",""))</formula1>
    </dataValidation>
    <dataValidation type="list" showErrorMessage="1" sqref="F5:F104" xr:uid="{9E8581AD-74D8-44C5-B4B9-BB04430BB338}">
      <formula1>ExpansionDegrees</formula1>
    </dataValidation>
    <dataValidation type="list" showErrorMessage="1" sqref="K5:K104" xr:uid="{E3B63928-17F8-48A7-8575-169CF5D26DE6}">
      <formula1>Boolean</formula1>
    </dataValidation>
    <dataValidation type="list" showErrorMessage="1" sqref="N5:N104" xr:uid="{CCFF6E81-EA62-4082-BB71-C0E253D789DB}">
      <formula1>CalculationBase_NoMeter</formula1>
    </dataValidation>
    <dataValidation type="textLength" operator="lessThanOrEqual" allowBlank="1" showInputMessage="1" showErrorMessage="1" prompt="Max. 250 Zeichen." sqref="B5:B105" xr:uid="{11A4EB77-A03D-46CE-919A-E655128DB120}">
      <formula1>250</formula1>
    </dataValidation>
  </dataValidations>
  <pageMargins left="0.7" right="0.7" top="0.75" bottom="0.75" header="0.3" footer="0.3"/>
  <pageSetup paperSize="9" orientation="portrait" verticalDpi="30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D990-69BF-496A-B266-12C8C8D0318C}">
  <dimension ref="A1:P24"/>
  <sheetViews>
    <sheetView zoomScaleNormal="100" workbookViewId="0"/>
  </sheetViews>
  <sheetFormatPr defaultColWidth="9.1796875" defaultRowHeight="15" customHeight="1" x14ac:dyDescent="0.25"/>
  <cols>
    <col min="1" max="1" width="8.453125" style="1" customWidth="1"/>
    <col min="2" max="3" width="27.7265625" style="1" customWidth="1"/>
    <col min="4" max="4" width="25.54296875" style="1" customWidth="1"/>
    <col min="5" max="5" width="10.54296875" style="1" customWidth="1"/>
    <col min="6" max="7" width="14.81640625" style="1" customWidth="1"/>
    <col min="8" max="8" width="15.81640625" style="1" customWidth="1"/>
    <col min="9" max="11" width="9.7265625" style="1" customWidth="1"/>
    <col min="12" max="12" width="15.453125" style="1" customWidth="1"/>
    <col min="13" max="13" width="16.453125" style="1" customWidth="1"/>
    <col min="14" max="14" width="11.453125" style="1" customWidth="1"/>
    <col min="15" max="15" width="23.54296875" style="1" customWidth="1"/>
    <col min="16" max="16" width="14.7265625" style="1" customWidth="1"/>
    <col min="17" max="16384" width="9.1796875" style="1"/>
  </cols>
  <sheetData>
    <row r="1" spans="1:16" s="198" customFormat="1" ht="15" customHeight="1" thickBot="1" x14ac:dyDescent="0.3">
      <c r="A1" s="178" t="s">
        <v>58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</row>
    <row r="2" spans="1:16" ht="15" customHeight="1" x14ac:dyDescent="0.25">
      <c r="I2" s="24"/>
    </row>
    <row r="3" spans="1:16" ht="33" customHeight="1" x14ac:dyDescent="0.25">
      <c r="A3" s="52"/>
      <c r="I3" s="210" t="s">
        <v>67</v>
      </c>
      <c r="J3" s="206"/>
      <c r="K3" s="207"/>
    </row>
    <row r="4" spans="1:16" s="34" customFormat="1" ht="34.5" customHeight="1" x14ac:dyDescent="0.25">
      <c r="A4" s="119" t="s">
        <v>16</v>
      </c>
      <c r="B4" s="129" t="s">
        <v>27</v>
      </c>
      <c r="C4" s="129" t="s">
        <v>161</v>
      </c>
      <c r="D4" s="129" t="s">
        <v>21</v>
      </c>
      <c r="E4" s="129" t="s">
        <v>162</v>
      </c>
      <c r="F4" s="129" t="s">
        <v>56</v>
      </c>
      <c r="G4" s="129" t="s">
        <v>53</v>
      </c>
      <c r="H4" s="129" t="s">
        <v>201</v>
      </c>
      <c r="I4" s="129" t="s">
        <v>68</v>
      </c>
      <c r="J4" s="129" t="s">
        <v>69</v>
      </c>
      <c r="K4" s="129" t="s">
        <v>70</v>
      </c>
      <c r="L4" s="129" t="s">
        <v>718</v>
      </c>
      <c r="M4" s="119" t="s">
        <v>204</v>
      </c>
      <c r="N4" s="119" t="s">
        <v>205</v>
      </c>
      <c r="O4" s="119" t="s">
        <v>196</v>
      </c>
      <c r="P4" s="119" t="s">
        <v>197</v>
      </c>
    </row>
    <row r="5" spans="1:16" ht="15" customHeight="1" x14ac:dyDescent="0.25">
      <c r="H5" s="21"/>
      <c r="I5" s="24"/>
      <c r="J5" s="24"/>
      <c r="K5" s="24"/>
    </row>
    <row r="6" spans="1:16" ht="15" customHeight="1" x14ac:dyDescent="0.25">
      <c r="H6" s="21"/>
      <c r="I6" s="24"/>
      <c r="J6" s="24"/>
      <c r="K6" s="24"/>
    </row>
    <row r="7" spans="1:16" ht="15" customHeight="1" x14ac:dyDescent="0.25">
      <c r="H7" s="21"/>
      <c r="I7" s="24"/>
      <c r="J7" s="24"/>
      <c r="K7" s="24"/>
    </row>
    <row r="8" spans="1:16" ht="15" customHeight="1" x14ac:dyDescent="0.25">
      <c r="H8" s="21"/>
      <c r="I8" s="24"/>
      <c r="J8" s="24"/>
      <c r="K8" s="24"/>
    </row>
    <row r="9" spans="1:16" ht="15" customHeight="1" x14ac:dyDescent="0.25">
      <c r="H9" s="21"/>
      <c r="I9" s="24"/>
      <c r="J9" s="24"/>
      <c r="K9" s="24"/>
    </row>
    <row r="10" spans="1:16" ht="15" customHeight="1" x14ac:dyDescent="0.25">
      <c r="H10" s="21"/>
      <c r="I10" s="24"/>
      <c r="J10" s="24"/>
      <c r="K10" s="24"/>
    </row>
    <row r="11" spans="1:16" ht="15" customHeight="1" x14ac:dyDescent="0.25">
      <c r="H11" s="21"/>
      <c r="I11" s="24"/>
      <c r="J11" s="24"/>
      <c r="K11" s="24"/>
    </row>
    <row r="12" spans="1:16" ht="15" customHeight="1" x14ac:dyDescent="0.25">
      <c r="H12" s="21"/>
      <c r="I12" s="24"/>
      <c r="J12" s="24"/>
      <c r="K12" s="24"/>
    </row>
    <row r="13" spans="1:16" ht="15" customHeight="1" x14ac:dyDescent="0.25">
      <c r="H13" s="21"/>
      <c r="I13" s="24"/>
      <c r="J13" s="24"/>
      <c r="K13" s="24"/>
    </row>
    <row r="14" spans="1:16" ht="15" customHeight="1" x14ac:dyDescent="0.25">
      <c r="H14" s="21"/>
      <c r="I14" s="24"/>
      <c r="J14" s="24"/>
      <c r="K14" s="24"/>
    </row>
    <row r="15" spans="1:16" ht="15" customHeight="1" x14ac:dyDescent="0.25">
      <c r="H15" s="21"/>
      <c r="I15" s="24"/>
      <c r="J15" s="24"/>
      <c r="K15" s="24"/>
    </row>
    <row r="16" spans="1:16" ht="15" customHeight="1" x14ac:dyDescent="0.25">
      <c r="H16" s="21"/>
      <c r="I16" s="24"/>
      <c r="J16" s="24"/>
      <c r="K16" s="24"/>
    </row>
    <row r="17" spans="8:11" ht="15" customHeight="1" x14ac:dyDescent="0.25">
      <c r="H17" s="21"/>
      <c r="I17" s="24"/>
      <c r="J17" s="24"/>
      <c r="K17" s="24"/>
    </row>
    <row r="18" spans="8:11" ht="15" customHeight="1" x14ac:dyDescent="0.25">
      <c r="H18" s="21"/>
      <c r="I18" s="24"/>
      <c r="J18" s="24"/>
      <c r="K18" s="24"/>
    </row>
    <row r="19" spans="8:11" ht="15" customHeight="1" x14ac:dyDescent="0.25">
      <c r="H19" s="21"/>
      <c r="I19" s="24"/>
      <c r="J19" s="24"/>
      <c r="K19" s="24"/>
    </row>
    <row r="20" spans="8:11" ht="15" customHeight="1" x14ac:dyDescent="0.25">
      <c r="H20" s="21"/>
      <c r="I20" s="24"/>
      <c r="J20" s="24"/>
      <c r="K20" s="24"/>
    </row>
    <row r="21" spans="8:11" ht="15" customHeight="1" x14ac:dyDescent="0.25">
      <c r="H21" s="21"/>
      <c r="I21" s="24"/>
      <c r="J21" s="24"/>
      <c r="K21" s="24"/>
    </row>
    <row r="22" spans="8:11" ht="15" customHeight="1" x14ac:dyDescent="0.25">
      <c r="H22" s="21"/>
      <c r="I22" s="24"/>
      <c r="J22" s="24"/>
      <c r="K22" s="24"/>
    </row>
    <row r="23" spans="8:11" ht="15" customHeight="1" x14ac:dyDescent="0.25">
      <c r="H23" s="21"/>
      <c r="I23" s="24"/>
      <c r="J23" s="24"/>
      <c r="K23" s="24"/>
    </row>
    <row r="24" spans="8:11" ht="15" customHeight="1" x14ac:dyDescent="0.25">
      <c r="H24" s="21"/>
      <c r="I24" s="24"/>
      <c r="J24" s="24"/>
      <c r="K24" s="24"/>
    </row>
  </sheetData>
  <mergeCells count="2">
    <mergeCell ref="I3:K3"/>
    <mergeCell ref="A1:XFD1"/>
  </mergeCells>
  <conditionalFormatting sqref="A5:L104">
    <cfRule type="expression" dxfId="13" priority="1">
      <formula>AND(COUNTA($A5:$P5)&gt;0,ISBLANK(A5))</formula>
    </cfRule>
  </conditionalFormatting>
  <dataValidations count="107">
    <dataValidation type="list" showInputMessage="1" prompt="Max. 5 Zeichen." sqref="A5:A104" xr:uid="{FE2B1A41-4EBB-4097-BD3A-6FB41E662655}">
      <formula1>WS14ExpertCodes</formula1>
    </dataValidation>
    <dataValidation type="list" showErrorMessage="1" sqref="C5:C100" xr:uid="{FCA507CD-9DD0-4DAF-A84E-4E6D7D551FD0}">
      <formula1>BuildingUsageTypeSelection</formula1>
    </dataValidation>
    <dataValidation type="list" showErrorMessage="1" sqref="D5" xr:uid="{A5CFCF78-8DD2-4C46-BCED-84136402A825}">
      <formula1>INDIRECT(SUBSTITUTE(SUBSTITUTE(SUBSTITUTE(C5," ",""),".",""),"/",""))</formula1>
    </dataValidation>
    <dataValidation type="list" showErrorMessage="1" sqref="D6" xr:uid="{4DA74A66-3A8F-42F4-830E-F61349E8E0E8}">
      <formula1>INDIRECT(SUBSTITUTE(SUBSTITUTE(SUBSTITUTE(C6," ",""),".",""),"/",""))</formula1>
    </dataValidation>
    <dataValidation type="list" showErrorMessage="1" sqref="D7" xr:uid="{A397F0DE-776B-4B04-BEE9-17E8A7BBBDA2}">
      <formula1>INDIRECT(SUBSTITUTE(SUBSTITUTE(SUBSTITUTE(C7," ",""),".",""),"/",""))</formula1>
    </dataValidation>
    <dataValidation type="list" showErrorMessage="1" sqref="D8" xr:uid="{9A94EF99-26C9-4BB8-8C6F-B69FE2BD483C}">
      <formula1>INDIRECT(SUBSTITUTE(SUBSTITUTE(SUBSTITUTE(C8," ",""),".",""),"/",""))</formula1>
    </dataValidation>
    <dataValidation type="list" showErrorMessage="1" sqref="D9" xr:uid="{456016E6-7879-4023-B5AE-A9BAAB9CBB31}">
      <formula1>INDIRECT(SUBSTITUTE(SUBSTITUTE(SUBSTITUTE(C9," ",""),".",""),"/",""))</formula1>
    </dataValidation>
    <dataValidation type="list" showErrorMessage="1" sqref="D10" xr:uid="{6966BD7B-F0E4-4A6D-84E0-1E2D32B300C7}">
      <formula1>INDIRECT(SUBSTITUTE(SUBSTITUTE(SUBSTITUTE(C10," ",""),".",""),"/",""))</formula1>
    </dataValidation>
    <dataValidation type="list" showErrorMessage="1" sqref="D11" xr:uid="{200E17EC-FC3C-48E0-84AD-1334CF351BAC}">
      <formula1>INDIRECT(SUBSTITUTE(SUBSTITUTE(SUBSTITUTE(C11," ",""),".",""),"/",""))</formula1>
    </dataValidation>
    <dataValidation type="list" showErrorMessage="1" sqref="D12" xr:uid="{BBB40EDB-FB7B-4DC8-82DC-246175946159}">
      <formula1>INDIRECT(SUBSTITUTE(SUBSTITUTE(SUBSTITUTE(C12," ",""),".",""),"/",""))</formula1>
    </dataValidation>
    <dataValidation type="list" showErrorMessage="1" sqref="D13" xr:uid="{C102ACA9-77C4-42F4-A80E-1CF97BC26CCF}">
      <formula1>INDIRECT(SUBSTITUTE(SUBSTITUTE(SUBSTITUTE(C13," ",""),".",""),"/",""))</formula1>
    </dataValidation>
    <dataValidation type="list" showErrorMessage="1" sqref="D14" xr:uid="{6CF0C03B-AD8D-4095-820F-334DF2204461}">
      <formula1>INDIRECT(SUBSTITUTE(SUBSTITUTE(SUBSTITUTE(C14," ",""),".",""),"/",""))</formula1>
    </dataValidation>
    <dataValidation type="list" showErrorMessage="1" sqref="D15" xr:uid="{1B874D77-4CF9-47EF-8F08-58AE6CB6FC03}">
      <formula1>INDIRECT(SUBSTITUTE(SUBSTITUTE(SUBSTITUTE(C15," ",""),".",""),"/",""))</formula1>
    </dataValidation>
    <dataValidation type="list" showErrorMessage="1" sqref="D16" xr:uid="{069122A3-A76F-419F-9FAD-2663389E32AE}">
      <formula1>INDIRECT(SUBSTITUTE(SUBSTITUTE(SUBSTITUTE(C16," ",""),".",""),"/",""))</formula1>
    </dataValidation>
    <dataValidation type="list" showErrorMessage="1" sqref="D17" xr:uid="{671228C8-3C19-433F-9228-02649316FBD9}">
      <formula1>INDIRECT(SUBSTITUTE(SUBSTITUTE(SUBSTITUTE(C17," ",""),".",""),"/",""))</formula1>
    </dataValidation>
    <dataValidation type="list" showErrorMessage="1" sqref="D18" xr:uid="{7503C496-DDD1-4467-B487-61F41534A049}">
      <formula1>INDIRECT(SUBSTITUTE(SUBSTITUTE(SUBSTITUTE(C18," ",""),".",""),"/",""))</formula1>
    </dataValidation>
    <dataValidation type="list" showErrorMessage="1" sqref="D19" xr:uid="{2BDBD921-DD78-4D4B-8F0D-A44869D30F00}">
      <formula1>INDIRECT(SUBSTITUTE(SUBSTITUTE(SUBSTITUTE(C19," ",""),".",""),"/",""))</formula1>
    </dataValidation>
    <dataValidation type="list" showErrorMessage="1" sqref="D20" xr:uid="{4CB4A2CB-0282-4EFF-B176-50EB46815D3D}">
      <formula1>INDIRECT(SUBSTITUTE(SUBSTITUTE(SUBSTITUTE(C20," ",""),".",""),"/",""))</formula1>
    </dataValidation>
    <dataValidation type="list" showErrorMessage="1" sqref="D21" xr:uid="{E81A2006-7775-493E-9EB0-1E94924E7D69}">
      <formula1>INDIRECT(SUBSTITUTE(SUBSTITUTE(SUBSTITUTE(C21," ",""),".",""),"/",""))</formula1>
    </dataValidation>
    <dataValidation type="list" showErrorMessage="1" sqref="D22" xr:uid="{094A1CC7-F279-4A43-867A-F59982EAC2EC}">
      <formula1>INDIRECT(SUBSTITUTE(SUBSTITUTE(SUBSTITUTE(C22," ",""),".",""),"/",""))</formula1>
    </dataValidation>
    <dataValidation type="list" showErrorMessage="1" sqref="D23" xr:uid="{BA4D0113-9A74-4FB4-B969-691307F22D43}">
      <formula1>INDIRECT(SUBSTITUTE(SUBSTITUTE(SUBSTITUTE(C23," ",""),".",""),"/",""))</formula1>
    </dataValidation>
    <dataValidation type="list" showErrorMessage="1" sqref="D24" xr:uid="{1AC51AF3-04BB-4378-BC1D-FCF8F4F43B93}">
      <formula1>INDIRECT(SUBSTITUTE(SUBSTITUTE(SUBSTITUTE(C24," ",""),".",""),"/",""))</formula1>
    </dataValidation>
    <dataValidation type="list" showErrorMessage="1" sqref="D25" xr:uid="{46A1D512-13E6-4114-A229-710451521681}">
      <formula1>INDIRECT(SUBSTITUTE(SUBSTITUTE(SUBSTITUTE(C25," ",""),".",""),"/",""))</formula1>
    </dataValidation>
    <dataValidation type="list" showErrorMessage="1" sqref="D26" xr:uid="{6C637938-3BD8-409F-A191-756294F7C82E}">
      <formula1>INDIRECT(SUBSTITUTE(SUBSTITUTE(SUBSTITUTE(C26," ",""),".",""),"/",""))</formula1>
    </dataValidation>
    <dataValidation type="list" showErrorMessage="1" sqref="D27" xr:uid="{A2DB108E-8D8D-462E-89D3-1AFA506FD620}">
      <formula1>INDIRECT(SUBSTITUTE(SUBSTITUTE(SUBSTITUTE(C27," ",""),".",""),"/",""))</formula1>
    </dataValidation>
    <dataValidation type="list" showErrorMessage="1" sqref="D28" xr:uid="{F96B26FB-1E7E-4CFC-927A-0DF3FD3015DF}">
      <formula1>INDIRECT(SUBSTITUTE(SUBSTITUTE(SUBSTITUTE(C28," ",""),".",""),"/",""))</formula1>
    </dataValidation>
    <dataValidation type="list" showErrorMessage="1" sqref="D29" xr:uid="{1A4ACBF9-E1C8-44B6-8942-3C8513267053}">
      <formula1>INDIRECT(SUBSTITUTE(SUBSTITUTE(SUBSTITUTE(C29," ",""),".",""),"/",""))</formula1>
    </dataValidation>
    <dataValidation type="list" showErrorMessage="1" sqref="D30" xr:uid="{0D3BC299-B9E9-4B64-9DCB-1B2C6B707839}">
      <formula1>INDIRECT(SUBSTITUTE(SUBSTITUTE(SUBSTITUTE(C30," ",""),".",""),"/",""))</formula1>
    </dataValidation>
    <dataValidation type="list" showErrorMessage="1" sqref="D31" xr:uid="{2AA1FE62-5788-4059-A73D-A9BA4D3152B8}">
      <formula1>INDIRECT(SUBSTITUTE(SUBSTITUTE(SUBSTITUTE(C31," ",""),".",""),"/",""))</formula1>
    </dataValidation>
    <dataValidation type="list" showErrorMessage="1" sqref="D32" xr:uid="{EE0E0052-EB5B-435E-8BD9-8B3936970910}">
      <formula1>INDIRECT(SUBSTITUTE(SUBSTITUTE(SUBSTITUTE(C32," ",""),".",""),"/",""))</formula1>
    </dataValidation>
    <dataValidation type="list" showErrorMessage="1" sqref="D33" xr:uid="{A69A57CE-812A-489E-8317-5D1B65C453AE}">
      <formula1>INDIRECT(SUBSTITUTE(SUBSTITUTE(SUBSTITUTE(C33," ",""),".",""),"/",""))</formula1>
    </dataValidation>
    <dataValidation type="list" showErrorMessage="1" sqref="D34" xr:uid="{507F92FF-2DDD-405E-9ED7-90F1C907F951}">
      <formula1>INDIRECT(SUBSTITUTE(SUBSTITUTE(SUBSTITUTE(C34," ",""),".",""),"/",""))</formula1>
    </dataValidation>
    <dataValidation type="list" showErrorMessage="1" sqref="D35" xr:uid="{A8AEFCC8-B70F-48E0-B4E3-AD095570E2F6}">
      <formula1>INDIRECT(SUBSTITUTE(SUBSTITUTE(SUBSTITUTE(C35," ",""),".",""),"/",""))</formula1>
    </dataValidation>
    <dataValidation type="list" showErrorMessage="1" sqref="D36" xr:uid="{A0BB128E-6C42-4F23-80C2-DD54C16AFE76}">
      <formula1>INDIRECT(SUBSTITUTE(SUBSTITUTE(SUBSTITUTE(C36," ",""),".",""),"/",""))</formula1>
    </dataValidation>
    <dataValidation type="list" showErrorMessage="1" sqref="D37" xr:uid="{3E444DCE-DFD2-4C89-B590-FBCAD5CB6CD0}">
      <formula1>INDIRECT(SUBSTITUTE(SUBSTITUTE(SUBSTITUTE(C37," ",""),".",""),"/",""))</formula1>
    </dataValidation>
    <dataValidation type="list" showErrorMessage="1" sqref="D38" xr:uid="{46028129-F26E-40EE-987C-55F9ABC21A62}">
      <formula1>INDIRECT(SUBSTITUTE(SUBSTITUTE(SUBSTITUTE(C38," ",""),".",""),"/",""))</formula1>
    </dataValidation>
    <dataValidation type="list" showErrorMessage="1" sqref="D39" xr:uid="{2196BD6B-04B2-4CBA-A2A2-7DD33DE1596F}">
      <formula1>INDIRECT(SUBSTITUTE(SUBSTITUTE(SUBSTITUTE(C39," ",""),".",""),"/",""))</formula1>
    </dataValidation>
    <dataValidation type="list" showErrorMessage="1" sqref="D40" xr:uid="{60D1980A-49A7-4FC7-954F-A4F46CFA98C0}">
      <formula1>INDIRECT(SUBSTITUTE(SUBSTITUTE(SUBSTITUTE(C40," ",""),".",""),"/",""))</formula1>
    </dataValidation>
    <dataValidation type="list" showErrorMessage="1" sqref="D41" xr:uid="{383D59EB-11E2-45FD-8AD9-A4B01B187EE8}">
      <formula1>INDIRECT(SUBSTITUTE(SUBSTITUTE(SUBSTITUTE(C41," ",""),".",""),"/",""))</formula1>
    </dataValidation>
    <dataValidation type="list" showErrorMessage="1" sqref="D42" xr:uid="{889D148A-62B7-418B-A843-BEECE25519C0}">
      <formula1>INDIRECT(SUBSTITUTE(SUBSTITUTE(SUBSTITUTE(C42," ",""),".",""),"/",""))</formula1>
    </dataValidation>
    <dataValidation type="list" showErrorMessage="1" sqref="D43" xr:uid="{36213853-E01E-4680-BBE7-AFE565A0F574}">
      <formula1>INDIRECT(SUBSTITUTE(SUBSTITUTE(SUBSTITUTE(C43," ",""),".",""),"/",""))</formula1>
    </dataValidation>
    <dataValidation type="list" showErrorMessage="1" sqref="D44" xr:uid="{F9B3EFAA-C9A7-459A-BC83-EB1765BE8AEC}">
      <formula1>INDIRECT(SUBSTITUTE(SUBSTITUTE(SUBSTITUTE(C44," ",""),".",""),"/",""))</formula1>
    </dataValidation>
    <dataValidation type="list" showErrorMessage="1" sqref="D45" xr:uid="{A5132D32-4364-48D6-AAAC-DEDA1A81361D}">
      <formula1>INDIRECT(SUBSTITUTE(SUBSTITUTE(SUBSTITUTE(C45," ",""),".",""),"/",""))</formula1>
    </dataValidation>
    <dataValidation type="list" showErrorMessage="1" sqref="D46" xr:uid="{5156C129-C6E0-4869-90EA-5B27EEF68D85}">
      <formula1>INDIRECT(SUBSTITUTE(SUBSTITUTE(SUBSTITUTE(C46," ",""),".",""),"/",""))</formula1>
    </dataValidation>
    <dataValidation type="list" showErrorMessage="1" sqref="D47" xr:uid="{822AAE2B-A606-494F-9715-CBF75F69BDB1}">
      <formula1>INDIRECT(SUBSTITUTE(SUBSTITUTE(SUBSTITUTE(C47," ",""),".",""),"/",""))</formula1>
    </dataValidation>
    <dataValidation type="list" showErrorMessage="1" sqref="D48" xr:uid="{AE532422-590C-4762-8ED5-FE539DADE016}">
      <formula1>INDIRECT(SUBSTITUTE(SUBSTITUTE(SUBSTITUTE(C48," ",""),".",""),"/",""))</formula1>
    </dataValidation>
    <dataValidation type="list" showErrorMessage="1" sqref="D49" xr:uid="{78258E19-C39B-431A-AD8E-6E114533F1E4}">
      <formula1>INDIRECT(SUBSTITUTE(SUBSTITUTE(SUBSTITUTE(C49," ",""),".",""),"/",""))</formula1>
    </dataValidation>
    <dataValidation type="list" showErrorMessage="1" sqref="D50" xr:uid="{F6FF3237-7293-4FD2-8203-3665E4021F78}">
      <formula1>INDIRECT(SUBSTITUTE(SUBSTITUTE(SUBSTITUTE(C50," ",""),".",""),"/",""))</formula1>
    </dataValidation>
    <dataValidation type="list" showErrorMessage="1" sqref="D51" xr:uid="{AA112BC2-7CFA-42F5-BA1A-07C1EE27B32C}">
      <formula1>INDIRECT(SUBSTITUTE(SUBSTITUTE(SUBSTITUTE(C51," ",""),".",""),"/",""))</formula1>
    </dataValidation>
    <dataValidation type="list" showErrorMessage="1" sqref="D52" xr:uid="{1B3AE436-D84D-4618-A40A-C968107BB025}">
      <formula1>INDIRECT(SUBSTITUTE(SUBSTITUTE(SUBSTITUTE(C52," ",""),".",""),"/",""))</formula1>
    </dataValidation>
    <dataValidation type="list" showErrorMessage="1" sqref="D53" xr:uid="{B9548179-E831-46A1-9CD6-9D9DEDB0A03D}">
      <formula1>INDIRECT(SUBSTITUTE(SUBSTITUTE(SUBSTITUTE(C53," ",""),".",""),"/",""))</formula1>
    </dataValidation>
    <dataValidation type="list" showErrorMessage="1" sqref="D54" xr:uid="{CCF0732C-5FE0-44ED-AEF3-F894743979AC}">
      <formula1>INDIRECT(SUBSTITUTE(SUBSTITUTE(SUBSTITUTE(C54," ",""),".",""),"/",""))</formula1>
    </dataValidation>
    <dataValidation type="list" showErrorMessage="1" sqref="D55" xr:uid="{166CAF6F-7093-4913-9F9E-1AEE707F9643}">
      <formula1>INDIRECT(SUBSTITUTE(SUBSTITUTE(SUBSTITUTE(C55," ",""),".",""),"/",""))</formula1>
    </dataValidation>
    <dataValidation type="list" showErrorMessage="1" sqref="D56" xr:uid="{F28801E5-561B-4248-84E1-52A60F3E7388}">
      <formula1>INDIRECT(SUBSTITUTE(SUBSTITUTE(SUBSTITUTE(C56," ",""),".",""),"/",""))</formula1>
    </dataValidation>
    <dataValidation type="list" showErrorMessage="1" sqref="D57" xr:uid="{5CD637DF-5EAB-44F3-A6B7-DCD5A11A42F1}">
      <formula1>INDIRECT(SUBSTITUTE(SUBSTITUTE(SUBSTITUTE(C57," ",""),".",""),"/",""))</formula1>
    </dataValidation>
    <dataValidation type="list" showErrorMessage="1" sqref="D58" xr:uid="{B0930889-0B05-4ED9-9257-E184CE6B4ED6}">
      <formula1>INDIRECT(SUBSTITUTE(SUBSTITUTE(SUBSTITUTE(C58," ",""),".",""),"/",""))</formula1>
    </dataValidation>
    <dataValidation type="list" showErrorMessage="1" sqref="D59" xr:uid="{605938F3-1753-421F-B60C-66926D27B7B0}">
      <formula1>INDIRECT(SUBSTITUTE(SUBSTITUTE(SUBSTITUTE(C59," ",""),".",""),"/",""))</formula1>
    </dataValidation>
    <dataValidation type="list" showErrorMessage="1" sqref="D60" xr:uid="{46622751-CE33-4CA9-AD34-8895DC592A7A}">
      <formula1>INDIRECT(SUBSTITUTE(SUBSTITUTE(SUBSTITUTE(C60," ",""),".",""),"/",""))</formula1>
    </dataValidation>
    <dataValidation type="list" showErrorMessage="1" sqref="D61" xr:uid="{EBA824B9-B529-406F-8180-E4D732EBAEFF}">
      <formula1>INDIRECT(SUBSTITUTE(SUBSTITUTE(SUBSTITUTE(C61," ",""),".",""),"/",""))</formula1>
    </dataValidation>
    <dataValidation type="list" showErrorMessage="1" sqref="D62" xr:uid="{2013D90C-FB48-4512-8A00-381543D35208}">
      <formula1>INDIRECT(SUBSTITUTE(SUBSTITUTE(SUBSTITUTE(C62," ",""),".",""),"/",""))</formula1>
    </dataValidation>
    <dataValidation type="list" showErrorMessage="1" sqref="D63" xr:uid="{6635D68A-5E92-4397-94BB-A6E3BEEDC4AE}">
      <formula1>INDIRECT(SUBSTITUTE(SUBSTITUTE(SUBSTITUTE(C63," ",""),".",""),"/",""))</formula1>
    </dataValidation>
    <dataValidation type="list" showErrorMessage="1" sqref="D64" xr:uid="{E7846D62-A29A-4C65-8664-30BF20B2B130}">
      <formula1>INDIRECT(SUBSTITUTE(SUBSTITUTE(SUBSTITUTE(C64," ",""),".",""),"/",""))</formula1>
    </dataValidation>
    <dataValidation type="list" showErrorMessage="1" sqref="D65" xr:uid="{F292304C-5E5B-4E2A-BEFC-4AAD2521510B}">
      <formula1>INDIRECT(SUBSTITUTE(SUBSTITUTE(SUBSTITUTE(C65," ",""),".",""),"/",""))</formula1>
    </dataValidation>
    <dataValidation type="list" showErrorMessage="1" sqref="D66" xr:uid="{53FE5FE9-BB82-496D-838D-0826E4C58ED2}">
      <formula1>INDIRECT(SUBSTITUTE(SUBSTITUTE(SUBSTITUTE(C66," ",""),".",""),"/",""))</formula1>
    </dataValidation>
    <dataValidation type="list" showErrorMessage="1" sqref="D67" xr:uid="{8B439726-83C9-4CDC-AEB9-32550A19D8AF}">
      <formula1>INDIRECT(SUBSTITUTE(SUBSTITUTE(SUBSTITUTE(C67," ",""),".",""),"/",""))</formula1>
    </dataValidation>
    <dataValidation type="list" showErrorMessage="1" sqref="D68" xr:uid="{B3A5D370-09A3-417D-859C-88EC651BD25E}">
      <formula1>INDIRECT(SUBSTITUTE(SUBSTITUTE(SUBSTITUTE(C68," ",""),".",""),"/",""))</formula1>
    </dataValidation>
    <dataValidation type="list" showErrorMessage="1" sqref="D69" xr:uid="{488F8FB9-E38C-42D9-A7A0-B0199D3B6566}">
      <formula1>INDIRECT(SUBSTITUTE(SUBSTITUTE(SUBSTITUTE(C69," ",""),".",""),"/",""))</formula1>
    </dataValidation>
    <dataValidation type="list" showErrorMessage="1" sqref="D70" xr:uid="{4C7E6C48-4C99-4551-A28A-91CE1FEE20A6}">
      <formula1>INDIRECT(SUBSTITUTE(SUBSTITUTE(SUBSTITUTE(C70," ",""),".",""),"/",""))</formula1>
    </dataValidation>
    <dataValidation type="list" showErrorMessage="1" sqref="D71" xr:uid="{F8AF31FB-39C8-4890-9EA4-E92C0BDE4DEE}">
      <formula1>INDIRECT(SUBSTITUTE(SUBSTITUTE(SUBSTITUTE(C71," ",""),".",""),"/",""))</formula1>
    </dataValidation>
    <dataValidation type="list" showErrorMessage="1" sqref="D72" xr:uid="{9CD1FC0A-536E-472F-98B3-9069927FC489}">
      <formula1>INDIRECT(SUBSTITUTE(SUBSTITUTE(SUBSTITUTE(C72," ",""),".",""),"/",""))</formula1>
    </dataValidation>
    <dataValidation type="list" showErrorMessage="1" sqref="D73" xr:uid="{FB6BA71F-195B-4D90-A08D-AAE58ECF32D7}">
      <formula1>INDIRECT(SUBSTITUTE(SUBSTITUTE(SUBSTITUTE(C73," ",""),".",""),"/",""))</formula1>
    </dataValidation>
    <dataValidation type="list" showErrorMessage="1" sqref="D74" xr:uid="{D733EA1E-B92C-4A76-8377-D6E356E2889F}">
      <formula1>INDIRECT(SUBSTITUTE(SUBSTITUTE(SUBSTITUTE(C74," ",""),".",""),"/",""))</formula1>
    </dataValidation>
    <dataValidation type="list" showErrorMessage="1" sqref="D75" xr:uid="{CB10EE3F-4EBF-434B-8DC6-71070600C1A7}">
      <formula1>INDIRECT(SUBSTITUTE(SUBSTITUTE(SUBSTITUTE(C75," ",""),".",""),"/",""))</formula1>
    </dataValidation>
    <dataValidation type="list" showErrorMessage="1" sqref="D76" xr:uid="{EBC51813-9AEE-46A6-A158-DF5AD5C2C7E7}">
      <formula1>INDIRECT(SUBSTITUTE(SUBSTITUTE(SUBSTITUTE(C76," ",""),".",""),"/",""))</formula1>
    </dataValidation>
    <dataValidation type="list" showErrorMessage="1" sqref="D77" xr:uid="{20A932E5-63E8-4B69-9319-8EE2F3F4C9EE}">
      <formula1>INDIRECT(SUBSTITUTE(SUBSTITUTE(SUBSTITUTE(C77," ",""),".",""),"/",""))</formula1>
    </dataValidation>
    <dataValidation type="list" showErrorMessage="1" sqref="D78" xr:uid="{E6A2DE87-DC38-436D-B78F-8E6AA33AC51F}">
      <formula1>INDIRECT(SUBSTITUTE(SUBSTITUTE(SUBSTITUTE(C78," ",""),".",""),"/",""))</formula1>
    </dataValidation>
    <dataValidation type="list" showErrorMessage="1" sqref="D79" xr:uid="{9F0F233B-5B6B-4916-9594-182BB29EE66C}">
      <formula1>INDIRECT(SUBSTITUTE(SUBSTITUTE(SUBSTITUTE(C79," ",""),".",""),"/",""))</formula1>
    </dataValidation>
    <dataValidation type="list" showErrorMessage="1" sqref="D80" xr:uid="{67424956-350C-46F6-B463-DEF1AC2FAB65}">
      <formula1>INDIRECT(SUBSTITUTE(SUBSTITUTE(SUBSTITUTE(C80," ",""),".",""),"/",""))</formula1>
    </dataValidation>
    <dataValidation type="list" showErrorMessage="1" sqref="D81" xr:uid="{729FBE77-86DA-4411-B921-7926213B5C0A}">
      <formula1>INDIRECT(SUBSTITUTE(SUBSTITUTE(SUBSTITUTE(C81," ",""),".",""),"/",""))</formula1>
    </dataValidation>
    <dataValidation type="list" showErrorMessage="1" sqref="D82" xr:uid="{4825C4E4-3480-408D-9AAA-6A987BAF0B47}">
      <formula1>INDIRECT(SUBSTITUTE(SUBSTITUTE(SUBSTITUTE(C82," ",""),".",""),"/",""))</formula1>
    </dataValidation>
    <dataValidation type="list" showErrorMessage="1" sqref="D83" xr:uid="{07AA4E70-FCD8-4396-A05B-5D5052DB1635}">
      <formula1>INDIRECT(SUBSTITUTE(SUBSTITUTE(SUBSTITUTE(C83," ",""),".",""),"/",""))</formula1>
    </dataValidation>
    <dataValidation type="list" showErrorMessage="1" sqref="D84" xr:uid="{5AE7062E-E33F-4339-BB9E-3F71865D95B6}">
      <formula1>INDIRECT(SUBSTITUTE(SUBSTITUTE(SUBSTITUTE(C84," ",""),".",""),"/",""))</formula1>
    </dataValidation>
    <dataValidation type="list" showErrorMessage="1" sqref="D85" xr:uid="{2367B358-E79E-481D-ABD8-F2A68984F054}">
      <formula1>INDIRECT(SUBSTITUTE(SUBSTITUTE(SUBSTITUTE(C85," ",""),".",""),"/",""))</formula1>
    </dataValidation>
    <dataValidation type="list" showErrorMessage="1" sqref="D86" xr:uid="{254C2234-D4E5-4F07-AE0B-07B72A22FE4D}">
      <formula1>INDIRECT(SUBSTITUTE(SUBSTITUTE(SUBSTITUTE(C86," ",""),".",""),"/",""))</formula1>
    </dataValidation>
    <dataValidation type="list" showErrorMessage="1" sqref="D87" xr:uid="{72984C76-E0AE-40D1-9958-A24B608A9E3C}">
      <formula1>INDIRECT(SUBSTITUTE(SUBSTITUTE(SUBSTITUTE(C87," ",""),".",""),"/",""))</formula1>
    </dataValidation>
    <dataValidation type="list" showErrorMessage="1" sqref="D88" xr:uid="{9CDAC252-9C10-40E0-96FA-7C076752DEA1}">
      <formula1>INDIRECT(SUBSTITUTE(SUBSTITUTE(SUBSTITUTE(C88," ",""),".",""),"/",""))</formula1>
    </dataValidation>
    <dataValidation type="list" showErrorMessage="1" sqref="D89" xr:uid="{501C5B65-DEAA-4D19-8886-8CC51E8AFEB8}">
      <formula1>INDIRECT(SUBSTITUTE(SUBSTITUTE(SUBSTITUTE(C89," ",""),".",""),"/",""))</formula1>
    </dataValidation>
    <dataValidation type="list" showErrorMessage="1" sqref="D90" xr:uid="{850A6300-517A-41DA-A714-F33D5D411B5E}">
      <formula1>INDIRECT(SUBSTITUTE(SUBSTITUTE(SUBSTITUTE(C90," ",""),".",""),"/",""))</formula1>
    </dataValidation>
    <dataValidation type="list" showErrorMessage="1" sqref="D91" xr:uid="{5F023CE0-69F0-4219-AA23-458C907AA183}">
      <formula1>INDIRECT(SUBSTITUTE(SUBSTITUTE(SUBSTITUTE(C91," ",""),".",""),"/",""))</formula1>
    </dataValidation>
    <dataValidation type="list" showErrorMessage="1" sqref="D92" xr:uid="{DDC14C2C-265A-4AD6-A927-AB907576E760}">
      <formula1>INDIRECT(SUBSTITUTE(SUBSTITUTE(SUBSTITUTE(C92," ",""),".",""),"/",""))</formula1>
    </dataValidation>
    <dataValidation type="list" showErrorMessage="1" sqref="D93" xr:uid="{F3C0ACD7-C7D3-46F1-B867-839E0EDA5067}">
      <formula1>INDIRECT(SUBSTITUTE(SUBSTITUTE(SUBSTITUTE(C93," ",""),".",""),"/",""))</formula1>
    </dataValidation>
    <dataValidation type="list" showErrorMessage="1" sqref="D94" xr:uid="{CE3C9889-A377-4236-9F13-7F5F7304424A}">
      <formula1>INDIRECT(SUBSTITUTE(SUBSTITUTE(SUBSTITUTE(C94," ",""),".",""),"/",""))</formula1>
    </dataValidation>
    <dataValidation type="list" showErrorMessage="1" sqref="D95" xr:uid="{1A28E1FB-92D1-4AAD-9AD3-B45B2C50D680}">
      <formula1>INDIRECT(SUBSTITUTE(SUBSTITUTE(SUBSTITUTE(C95," ",""),".",""),"/",""))</formula1>
    </dataValidation>
    <dataValidation type="list" showErrorMessage="1" sqref="D96" xr:uid="{A281CBEA-E001-4552-8F9B-DE434FF4C873}">
      <formula1>INDIRECT(SUBSTITUTE(SUBSTITUTE(SUBSTITUTE(C96," ",""),".",""),"/",""))</formula1>
    </dataValidation>
    <dataValidation type="list" showErrorMessage="1" sqref="D97" xr:uid="{22E3ED96-8928-430A-B67B-539BE5A1D9A9}">
      <formula1>INDIRECT(SUBSTITUTE(SUBSTITUTE(SUBSTITUTE(C97," ",""),".",""),"/",""))</formula1>
    </dataValidation>
    <dataValidation type="list" showErrorMessage="1" sqref="D98" xr:uid="{AC6D1DD2-FDED-4F60-8131-03193F23D007}">
      <formula1>INDIRECT(SUBSTITUTE(SUBSTITUTE(SUBSTITUTE(C98," ",""),".",""),"/",""))</formula1>
    </dataValidation>
    <dataValidation type="list" showErrorMessage="1" sqref="D99" xr:uid="{7734D71A-07BB-4F50-A160-4B43E8CC318A}">
      <formula1>INDIRECT(SUBSTITUTE(SUBSTITUTE(SUBSTITUTE(C99," ",""),".",""),"/",""))</formula1>
    </dataValidation>
    <dataValidation type="list" showErrorMessage="1" sqref="D100" xr:uid="{4C1D5C04-90FC-484C-BD3E-4D6427ADEA45}">
      <formula1>INDIRECT(SUBSTITUTE(SUBSTITUTE(SUBSTITUTE(C100," ",""),".",""),"/",""))</formula1>
    </dataValidation>
    <dataValidation type="list" showErrorMessage="1" sqref="D101" xr:uid="{309D10AA-6DEF-40B7-8CEB-4E5DECAF0130}">
      <formula1>INDIRECT(SUBSTITUTE(SUBSTITUTE(SUBSTITUTE(C101," ",""),".",""),"/",""))</formula1>
    </dataValidation>
    <dataValidation type="list" showErrorMessage="1" sqref="D102" xr:uid="{C4D6E12D-8233-4959-84DA-66FD4C93F734}">
      <formula1>INDIRECT(SUBSTITUTE(SUBSTITUTE(SUBSTITUTE(C102," ",""),".",""),"/",""))</formula1>
    </dataValidation>
    <dataValidation type="list" showErrorMessage="1" sqref="D103" xr:uid="{75A2BC7C-D8EF-44B0-B71B-CFED9DFDE2E7}">
      <formula1>INDIRECT(SUBSTITUTE(SUBSTITUTE(SUBSTITUTE(C103," ",""),".",""),"/",""))</formula1>
    </dataValidation>
    <dataValidation type="list" showErrorMessage="1" sqref="D104" xr:uid="{2AC63124-BDFF-42DD-8F65-05FC6853245F}">
      <formula1>INDIRECT(SUBSTITUTE(SUBSTITUTE(SUBSTITUTE(C104," ",""),".",""),"/",""))</formula1>
    </dataValidation>
    <dataValidation type="list" showErrorMessage="1" sqref="F5:F104" xr:uid="{7F16CC40-DDD6-4E2D-9F52-4ED17C5A14FC}">
      <formula1>ExpansionDegrees</formula1>
    </dataValidation>
    <dataValidation type="list" showErrorMessage="1" sqref="G5:G104" xr:uid="{4299BC06-932F-4316-9936-DC8CE6475094}">
      <formula1>LightingQuality</formula1>
    </dataValidation>
    <dataValidation type="list" showErrorMessage="1" sqref="L5:L104" xr:uid="{A27F7316-B775-4FD1-AA38-A62AF533F46D}">
      <formula1>Boolean</formula1>
    </dataValidation>
    <dataValidation type="list" showErrorMessage="1" sqref="O5:O104" xr:uid="{37649601-90CF-4AB3-A675-4AF4F191BBD3}">
      <formula1>CalculationBase_NoMeter</formula1>
    </dataValidation>
    <dataValidation type="textLength" operator="lessThanOrEqual" allowBlank="1" showInputMessage="1" showErrorMessage="1" prompt="Max. 250 Zeichen." sqref="B5:B105" xr:uid="{FAE4FB91-BCBA-4509-A5BC-91285A3031C7}">
      <formula1>250</formula1>
    </dataValidation>
  </dataValidations>
  <pageMargins left="0.7" right="0.7" top="0.75" bottom="0.75" header="0.3" footer="0.3"/>
  <pageSetup paperSize="9" orientation="portrait" verticalDpi="3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1012-9EA4-4A45-A07E-DAF509DBFCCD}">
  <dimension ref="A1:O25"/>
  <sheetViews>
    <sheetView zoomScale="85" zoomScaleNormal="85" workbookViewId="0"/>
  </sheetViews>
  <sheetFormatPr defaultColWidth="9.1796875" defaultRowHeight="15" customHeight="1" x14ac:dyDescent="0.25"/>
  <cols>
    <col min="1" max="1" width="8.453125" style="1" customWidth="1"/>
    <col min="2" max="2" width="27.1796875" style="1" customWidth="1"/>
    <col min="3" max="3" width="29.81640625" style="1" customWidth="1"/>
    <col min="4" max="4" width="12.54296875" style="1" customWidth="1"/>
    <col min="5" max="5" width="16.453125" style="1" customWidth="1"/>
    <col min="6" max="6" width="14.81640625" style="1" customWidth="1"/>
    <col min="7" max="7" width="15.81640625" style="1" customWidth="1"/>
    <col min="8" max="10" width="9.7265625" style="1" customWidth="1"/>
    <col min="11" max="11" width="9.1796875" style="1"/>
    <col min="12" max="12" width="18" style="1" customWidth="1"/>
    <col min="13" max="13" width="15" style="1" customWidth="1"/>
    <col min="14" max="14" width="20.81640625" style="1" customWidth="1"/>
    <col min="15" max="15" width="16.81640625" style="1" customWidth="1"/>
    <col min="16" max="16384" width="9.1796875" style="1"/>
  </cols>
  <sheetData>
    <row r="1" spans="1:15" s="198" customFormat="1" ht="15" customHeight="1" thickBot="1" x14ac:dyDescent="0.3">
      <c r="A1" s="178" t="s">
        <v>134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</row>
    <row r="2" spans="1:15" ht="15" customHeight="1" x14ac:dyDescent="0.25">
      <c r="H2" s="24"/>
    </row>
    <row r="3" spans="1:15" ht="15" customHeight="1" x14ac:dyDescent="0.25">
      <c r="A3" s="164" t="s">
        <v>342</v>
      </c>
      <c r="B3" s="183"/>
      <c r="C3" s="186"/>
      <c r="D3" s="186"/>
      <c r="E3" s="186"/>
      <c r="H3" s="24"/>
    </row>
    <row r="4" spans="1:15" ht="15" customHeight="1" x14ac:dyDescent="0.25">
      <c r="A4" s="157" t="s">
        <v>193</v>
      </c>
      <c r="B4" s="208"/>
      <c r="C4" s="214"/>
      <c r="D4" s="215"/>
      <c r="E4" s="216"/>
      <c r="H4" s="24"/>
    </row>
    <row r="5" spans="1:15" ht="62.25" customHeight="1" x14ac:dyDescent="0.25">
      <c r="A5" s="170" t="s">
        <v>18</v>
      </c>
      <c r="B5" s="209"/>
      <c r="C5" s="211"/>
      <c r="D5" s="212"/>
      <c r="E5" s="213"/>
      <c r="H5" s="24"/>
    </row>
    <row r="6" spans="1:15" ht="62.25" customHeight="1" x14ac:dyDescent="0.25">
      <c r="A6" s="170" t="s">
        <v>91</v>
      </c>
      <c r="B6" s="209"/>
      <c r="C6" s="211"/>
      <c r="D6" s="212"/>
      <c r="E6" s="213"/>
      <c r="H6" s="24"/>
    </row>
    <row r="7" spans="1:15" ht="15" customHeight="1" x14ac:dyDescent="0.25">
      <c r="H7" s="24"/>
    </row>
    <row r="8" spans="1:15" ht="15" customHeight="1" x14ac:dyDescent="0.25">
      <c r="I8" s="210" t="s">
        <v>67</v>
      </c>
      <c r="J8" s="206"/>
      <c r="K8" s="207"/>
    </row>
    <row r="9" spans="1:15" s="34" customFormat="1" ht="34.5" customHeight="1" x14ac:dyDescent="0.25">
      <c r="A9" s="119" t="s">
        <v>16</v>
      </c>
      <c r="B9" s="129" t="s">
        <v>27</v>
      </c>
      <c r="C9" s="129" t="s">
        <v>161</v>
      </c>
      <c r="D9" s="129" t="s">
        <v>21</v>
      </c>
      <c r="E9" s="129" t="s">
        <v>162</v>
      </c>
      <c r="F9" s="129" t="s">
        <v>56</v>
      </c>
      <c r="G9" s="129" t="s">
        <v>53</v>
      </c>
      <c r="H9" s="129" t="s">
        <v>201</v>
      </c>
      <c r="I9" s="129" t="s">
        <v>68</v>
      </c>
      <c r="J9" s="129" t="s">
        <v>69</v>
      </c>
      <c r="K9" s="129" t="s">
        <v>70</v>
      </c>
      <c r="L9" s="119" t="s">
        <v>204</v>
      </c>
      <c r="M9" s="119" t="s">
        <v>205</v>
      </c>
      <c r="N9" s="119" t="s">
        <v>196</v>
      </c>
      <c r="O9" s="119" t="s">
        <v>197</v>
      </c>
    </row>
    <row r="10" spans="1:15" ht="15" customHeight="1" x14ac:dyDescent="0.25">
      <c r="G10" s="21"/>
      <c r="H10" s="35"/>
      <c r="I10" s="24"/>
      <c r="J10" s="24"/>
      <c r="K10" s="24"/>
    </row>
    <row r="11" spans="1:15" ht="15" customHeight="1" x14ac:dyDescent="0.25">
      <c r="G11" s="21"/>
      <c r="H11" s="35"/>
      <c r="I11" s="24"/>
      <c r="J11" s="24"/>
      <c r="K11" s="24"/>
    </row>
    <row r="12" spans="1:15" ht="15" customHeight="1" x14ac:dyDescent="0.25">
      <c r="G12" s="21"/>
      <c r="H12" s="35"/>
      <c r="I12" s="24"/>
      <c r="J12" s="24"/>
      <c r="K12" s="24"/>
    </row>
    <row r="13" spans="1:15" ht="15" customHeight="1" x14ac:dyDescent="0.25">
      <c r="G13" s="21"/>
      <c r="H13" s="35"/>
      <c r="I13" s="24"/>
      <c r="J13" s="24"/>
      <c r="K13" s="24"/>
    </row>
    <row r="14" spans="1:15" ht="15" customHeight="1" x14ac:dyDescent="0.25">
      <c r="G14" s="21"/>
      <c r="H14" s="35"/>
      <c r="I14" s="24"/>
      <c r="J14" s="24"/>
      <c r="K14" s="24"/>
    </row>
    <row r="15" spans="1:15" ht="15" customHeight="1" x14ac:dyDescent="0.25">
      <c r="G15" s="21"/>
      <c r="H15" s="35"/>
      <c r="I15" s="24"/>
      <c r="J15" s="24"/>
      <c r="K15" s="24"/>
    </row>
    <row r="16" spans="1:15" ht="15" customHeight="1" x14ac:dyDescent="0.25">
      <c r="G16" s="21"/>
      <c r="H16" s="35"/>
      <c r="I16" s="24"/>
      <c r="J16" s="24"/>
      <c r="K16" s="24"/>
    </row>
    <row r="17" spans="7:11" ht="15" customHeight="1" x14ac:dyDescent="0.25">
      <c r="G17" s="21"/>
      <c r="H17" s="35"/>
      <c r="I17" s="24"/>
      <c r="J17" s="24"/>
      <c r="K17" s="24"/>
    </row>
    <row r="18" spans="7:11" ht="15" customHeight="1" x14ac:dyDescent="0.25">
      <c r="G18" s="21"/>
      <c r="H18" s="35"/>
      <c r="I18" s="24"/>
      <c r="J18" s="24"/>
      <c r="K18" s="24"/>
    </row>
    <row r="19" spans="7:11" ht="15" customHeight="1" x14ac:dyDescent="0.25">
      <c r="G19" s="21"/>
      <c r="H19" s="35"/>
      <c r="I19" s="24"/>
      <c r="J19" s="24"/>
      <c r="K19" s="24"/>
    </row>
    <row r="20" spans="7:11" ht="15" customHeight="1" x14ac:dyDescent="0.25">
      <c r="G20" s="21"/>
      <c r="H20" s="35"/>
      <c r="I20" s="24"/>
      <c r="J20" s="24"/>
      <c r="K20" s="24"/>
    </row>
    <row r="21" spans="7:11" ht="15" customHeight="1" x14ac:dyDescent="0.25">
      <c r="G21" s="21"/>
      <c r="H21" s="35"/>
      <c r="I21" s="24"/>
      <c r="J21" s="24"/>
      <c r="K21" s="24"/>
    </row>
    <row r="22" spans="7:11" ht="15" customHeight="1" x14ac:dyDescent="0.25">
      <c r="G22" s="21"/>
      <c r="H22" s="35"/>
      <c r="I22" s="24"/>
      <c r="J22" s="24"/>
      <c r="K22" s="24"/>
    </row>
    <row r="23" spans="7:11" ht="15" customHeight="1" x14ac:dyDescent="0.25">
      <c r="G23" s="21"/>
      <c r="H23" s="35"/>
      <c r="I23" s="24"/>
      <c r="J23" s="24"/>
      <c r="K23" s="24"/>
    </row>
    <row r="24" spans="7:11" ht="15" customHeight="1" x14ac:dyDescent="0.25">
      <c r="G24" s="21"/>
      <c r="H24" s="35"/>
      <c r="I24" s="24"/>
      <c r="J24" s="24"/>
      <c r="K24" s="24"/>
    </row>
    <row r="25" spans="7:11" ht="15" customHeight="1" x14ac:dyDescent="0.25">
      <c r="G25" s="21"/>
      <c r="H25" s="35"/>
      <c r="I25" s="24"/>
      <c r="J25" s="24"/>
      <c r="K25" s="24"/>
    </row>
  </sheetData>
  <mergeCells count="10">
    <mergeCell ref="A1:XFD1"/>
    <mergeCell ref="I8:K8"/>
    <mergeCell ref="C6:E6"/>
    <mergeCell ref="A4:B4"/>
    <mergeCell ref="A5:B5"/>
    <mergeCell ref="A6:B6"/>
    <mergeCell ref="C5:E5"/>
    <mergeCell ref="C4:E4"/>
    <mergeCell ref="A3:B3"/>
    <mergeCell ref="C3:E3"/>
  </mergeCells>
  <conditionalFormatting sqref="C3">
    <cfRule type="containsBlanks" dxfId="12" priority="2">
      <formula>LEN(TRIM(C3))=0</formula>
    </cfRule>
  </conditionalFormatting>
  <conditionalFormatting sqref="A10:K109">
    <cfRule type="expression" dxfId="11" priority="1">
      <formula>AND(COUNTA($A10:$O10)&gt;0,ISBLANK(A10))</formula>
    </cfRule>
  </conditionalFormatting>
  <dataValidations count="111">
    <dataValidation type="textLength" operator="lessThan" allowBlank="1" showInputMessage="1" showErrorMessage="1" prompt="Max. 220 Zeichen. BItte ohne Sonderzeichen wie  ;  /  " sqref="F5:F6" xr:uid="{C016CA25-31DB-4208-B680-0B152023C842}">
      <formula1>220</formula1>
    </dataValidation>
    <dataValidation type="list" showErrorMessage="1" sqref="C3" xr:uid="{82E2C54B-B76A-495C-95A5-8E9E17629629}">
      <formula1>GeneralCondition</formula1>
    </dataValidation>
    <dataValidation type="list" allowBlank="1" showErrorMessage="1" sqref="C4" xr:uid="{DEE22C54-D1EB-4E39-967F-8817222F1135}">
      <formula1>Prioritization</formula1>
    </dataValidation>
    <dataValidation type="textLength" operator="lessThanOrEqual" allowBlank="1" showInputMessage="1" showErrorMessage="1" prompt="Max. 1000 Zeichen." sqref="C5" xr:uid="{13E012ED-E93C-417A-A54B-00C53B7BADFA}">
      <formula1>1000</formula1>
    </dataValidation>
    <dataValidation type="textLength" operator="lessThanOrEqual" allowBlank="1" showInputMessage="1" showErrorMessage="1" prompt="Max. 1000 Zeichen." sqref="C6" xr:uid="{F885495D-1310-41F2-805A-4CB2BA95FD06}">
      <formula1>1000</formula1>
    </dataValidation>
    <dataValidation type="list" showInputMessage="1" prompt="Max. 5 Zeichen." sqref="A10:A109" xr:uid="{9AB242F9-887A-4CEC-BE67-80EA98063328}">
      <formula1>WS15ExpertCodes</formula1>
    </dataValidation>
    <dataValidation type="list" showErrorMessage="1" sqref="C10:C100" xr:uid="{7A9E8A03-A946-4194-A130-FBEFC7878CF0}">
      <formula1>BuildingUsageTypeSelection</formula1>
    </dataValidation>
    <dataValidation type="list" showErrorMessage="1" sqref="D10" xr:uid="{946FC39F-30BB-4737-A88A-EDC25827E300}">
      <formula1>INDIRECT(SUBSTITUTE(SUBSTITUTE(SUBSTITUTE(C10," ",""),".",""),"/",""))</formula1>
    </dataValidation>
    <dataValidation type="list" showErrorMessage="1" sqref="D11" xr:uid="{A8E46229-8F71-4696-91C2-13ABB7F91B17}">
      <formula1>INDIRECT(SUBSTITUTE(SUBSTITUTE(SUBSTITUTE(C11," ",""),".",""),"/",""))</formula1>
    </dataValidation>
    <dataValidation type="list" showErrorMessage="1" sqref="D12" xr:uid="{A9801D62-4035-4C25-A45F-D7010D91C94D}">
      <formula1>INDIRECT(SUBSTITUTE(SUBSTITUTE(SUBSTITUTE(C12," ",""),".",""),"/",""))</formula1>
    </dataValidation>
    <dataValidation type="list" showErrorMessage="1" sqref="D13" xr:uid="{7E31E3F3-0008-4AE7-A6D2-DA3EA29A6B38}">
      <formula1>INDIRECT(SUBSTITUTE(SUBSTITUTE(SUBSTITUTE(C13," ",""),".",""),"/",""))</formula1>
    </dataValidation>
    <dataValidation type="list" showErrorMessage="1" sqref="D14" xr:uid="{B357303C-DB72-4352-A393-9A294D5AF7FE}">
      <formula1>INDIRECT(SUBSTITUTE(SUBSTITUTE(SUBSTITUTE(C14," ",""),".",""),"/",""))</formula1>
    </dataValidation>
    <dataValidation type="list" showErrorMessage="1" sqref="D15" xr:uid="{EBDC9B0E-8784-4199-ABD6-CC89E8CB5B92}">
      <formula1>INDIRECT(SUBSTITUTE(SUBSTITUTE(SUBSTITUTE(C15," ",""),".",""),"/",""))</formula1>
    </dataValidation>
    <dataValidation type="list" showErrorMessage="1" sqref="D16" xr:uid="{E36380E5-7575-4935-B931-EC8303BD4E32}">
      <formula1>INDIRECT(SUBSTITUTE(SUBSTITUTE(SUBSTITUTE(C16," ",""),".",""),"/",""))</formula1>
    </dataValidation>
    <dataValidation type="list" showErrorMessage="1" sqref="D17" xr:uid="{A15B6CB9-A3D9-42D1-AB05-CD44C3CB5F0F}">
      <formula1>INDIRECT(SUBSTITUTE(SUBSTITUTE(SUBSTITUTE(C17," ",""),".",""),"/",""))</formula1>
    </dataValidation>
    <dataValidation type="list" showErrorMessage="1" sqref="D18" xr:uid="{5FE75F51-A270-48E9-A76B-25619864967B}">
      <formula1>INDIRECT(SUBSTITUTE(SUBSTITUTE(SUBSTITUTE(C18," ",""),".",""),"/",""))</formula1>
    </dataValidation>
    <dataValidation type="list" showErrorMessage="1" sqref="D19" xr:uid="{56322F6A-65A9-4323-AB92-FA82F45584DD}">
      <formula1>INDIRECT(SUBSTITUTE(SUBSTITUTE(SUBSTITUTE(C19," ",""),".",""),"/",""))</formula1>
    </dataValidation>
    <dataValidation type="list" showErrorMessage="1" sqref="D20" xr:uid="{5EB5B1E6-739B-4CA5-9BB8-72B18FFC7C5D}">
      <formula1>INDIRECT(SUBSTITUTE(SUBSTITUTE(SUBSTITUTE(C20," ",""),".",""),"/",""))</formula1>
    </dataValidation>
    <dataValidation type="list" showErrorMessage="1" sqref="D21" xr:uid="{87E337BA-EFFD-4A63-A686-314CDC79FD01}">
      <formula1>INDIRECT(SUBSTITUTE(SUBSTITUTE(SUBSTITUTE(C21," ",""),".",""),"/",""))</formula1>
    </dataValidation>
    <dataValidation type="list" showErrorMessage="1" sqref="D22" xr:uid="{54741114-AEE5-4BD8-BEEA-244EBDAD15B5}">
      <formula1>INDIRECT(SUBSTITUTE(SUBSTITUTE(SUBSTITUTE(C22," ",""),".",""),"/",""))</formula1>
    </dataValidation>
    <dataValidation type="list" showErrorMessage="1" sqref="D23" xr:uid="{8431DC8A-BC4F-47C2-BD10-7038025B19D8}">
      <formula1>INDIRECT(SUBSTITUTE(SUBSTITUTE(SUBSTITUTE(C23," ",""),".",""),"/",""))</formula1>
    </dataValidation>
    <dataValidation type="list" showErrorMessage="1" sqref="D24" xr:uid="{FF74642C-8387-419A-8358-3BF17FBCBCAF}">
      <formula1>INDIRECT(SUBSTITUTE(SUBSTITUTE(SUBSTITUTE(C24," ",""),".",""),"/",""))</formula1>
    </dataValidation>
    <dataValidation type="list" showErrorMessage="1" sqref="D25" xr:uid="{15CC4EDF-41BE-422E-B0BB-BF2645317FBA}">
      <formula1>INDIRECT(SUBSTITUTE(SUBSTITUTE(SUBSTITUTE(C25," ",""),".",""),"/",""))</formula1>
    </dataValidation>
    <dataValidation type="list" showErrorMessage="1" sqref="D26" xr:uid="{770F85BE-137F-4763-BFE7-9404EA8163C7}">
      <formula1>INDIRECT(SUBSTITUTE(SUBSTITUTE(SUBSTITUTE(C26," ",""),".",""),"/",""))</formula1>
    </dataValidation>
    <dataValidation type="list" showErrorMessage="1" sqref="D27" xr:uid="{DF62F9F7-2EAE-4B00-A814-261E8888CE95}">
      <formula1>INDIRECT(SUBSTITUTE(SUBSTITUTE(SUBSTITUTE(C27," ",""),".",""),"/",""))</formula1>
    </dataValidation>
    <dataValidation type="list" showErrorMessage="1" sqref="D28" xr:uid="{DD8C101F-36F8-488D-8B21-9C70D30A6332}">
      <formula1>INDIRECT(SUBSTITUTE(SUBSTITUTE(SUBSTITUTE(C28," ",""),".",""),"/",""))</formula1>
    </dataValidation>
    <dataValidation type="list" showErrorMessage="1" sqref="D29" xr:uid="{4FF45B0A-2C12-4305-A330-92FFE31EC2BB}">
      <formula1>INDIRECT(SUBSTITUTE(SUBSTITUTE(SUBSTITUTE(C29," ",""),".",""),"/",""))</formula1>
    </dataValidation>
    <dataValidation type="list" showErrorMessage="1" sqref="D30" xr:uid="{9517284C-8806-4106-AC01-CAC840C758AC}">
      <formula1>INDIRECT(SUBSTITUTE(SUBSTITUTE(SUBSTITUTE(C30," ",""),".",""),"/",""))</formula1>
    </dataValidation>
    <dataValidation type="list" showErrorMessage="1" sqref="D31" xr:uid="{D65BED01-456B-4BA5-97C7-935E71B0A935}">
      <formula1>INDIRECT(SUBSTITUTE(SUBSTITUTE(SUBSTITUTE(C31," ",""),".",""),"/",""))</formula1>
    </dataValidation>
    <dataValidation type="list" showErrorMessage="1" sqref="D32" xr:uid="{0B0191FD-22F7-4A21-89D8-AAE0C3F55AAB}">
      <formula1>INDIRECT(SUBSTITUTE(SUBSTITUTE(SUBSTITUTE(C32," ",""),".",""),"/",""))</formula1>
    </dataValidation>
    <dataValidation type="list" showErrorMessage="1" sqref="D33" xr:uid="{55FCB42D-C8E6-49BE-8ACA-813EBFDAFA6C}">
      <formula1>INDIRECT(SUBSTITUTE(SUBSTITUTE(SUBSTITUTE(C33," ",""),".",""),"/",""))</formula1>
    </dataValidation>
    <dataValidation type="list" showErrorMessage="1" sqref="D34" xr:uid="{47BCA390-1E6A-45CC-99BC-07C13C9A9D7A}">
      <formula1>INDIRECT(SUBSTITUTE(SUBSTITUTE(SUBSTITUTE(C34," ",""),".",""),"/",""))</formula1>
    </dataValidation>
    <dataValidation type="list" showErrorMessage="1" sqref="D35" xr:uid="{2D6F1799-E592-4762-A416-2199C335D797}">
      <formula1>INDIRECT(SUBSTITUTE(SUBSTITUTE(SUBSTITUTE(C35," ",""),".",""),"/",""))</formula1>
    </dataValidation>
    <dataValidation type="list" showErrorMessage="1" sqref="D36" xr:uid="{E1125F2E-E78A-4BA9-B8F1-9D2C3C2407CC}">
      <formula1>INDIRECT(SUBSTITUTE(SUBSTITUTE(SUBSTITUTE(C36," ",""),".",""),"/",""))</formula1>
    </dataValidation>
    <dataValidation type="list" showErrorMessage="1" sqref="D37" xr:uid="{EDBC4A98-851A-4516-8DBD-E46835C62B1B}">
      <formula1>INDIRECT(SUBSTITUTE(SUBSTITUTE(SUBSTITUTE(C37," ",""),".",""),"/",""))</formula1>
    </dataValidation>
    <dataValidation type="list" showErrorMessage="1" sqref="D38" xr:uid="{61894DE1-D234-4F67-BBA3-E15C038A6BF7}">
      <formula1>INDIRECT(SUBSTITUTE(SUBSTITUTE(SUBSTITUTE(C38," ",""),".",""),"/",""))</formula1>
    </dataValidation>
    <dataValidation type="list" showErrorMessage="1" sqref="D39" xr:uid="{C41F7048-A350-4516-AE9C-5BFCE5E9D876}">
      <formula1>INDIRECT(SUBSTITUTE(SUBSTITUTE(SUBSTITUTE(C39," ",""),".",""),"/",""))</formula1>
    </dataValidation>
    <dataValidation type="list" showErrorMessage="1" sqref="D40" xr:uid="{6BCE74BF-0D67-409D-813C-158F53F32C78}">
      <formula1>INDIRECT(SUBSTITUTE(SUBSTITUTE(SUBSTITUTE(C40," ",""),".",""),"/",""))</formula1>
    </dataValidation>
    <dataValidation type="list" showErrorMessage="1" sqref="D41" xr:uid="{EA5AC865-141A-4EA3-8065-FB3D7BE28F94}">
      <formula1>INDIRECT(SUBSTITUTE(SUBSTITUTE(SUBSTITUTE(C41," ",""),".",""),"/",""))</formula1>
    </dataValidation>
    <dataValidation type="list" showErrorMessage="1" sqref="D42" xr:uid="{F7E12367-554A-44A2-B073-B8DD486F7980}">
      <formula1>INDIRECT(SUBSTITUTE(SUBSTITUTE(SUBSTITUTE(C42," ",""),".",""),"/",""))</formula1>
    </dataValidation>
    <dataValidation type="list" showErrorMessage="1" sqref="D43" xr:uid="{88DECDEB-FB98-4EDF-8D60-C9F5BD26B6CF}">
      <formula1>INDIRECT(SUBSTITUTE(SUBSTITUTE(SUBSTITUTE(C43," ",""),".",""),"/",""))</formula1>
    </dataValidation>
    <dataValidation type="list" showErrorMessage="1" sqref="D44" xr:uid="{A43BB4F5-EE00-48BF-8232-0FA7CAC6BC3A}">
      <formula1>INDIRECT(SUBSTITUTE(SUBSTITUTE(SUBSTITUTE(C44," ",""),".",""),"/",""))</formula1>
    </dataValidation>
    <dataValidation type="list" showErrorMessage="1" sqref="D45" xr:uid="{8CBAE4BA-95F9-4C51-8000-6EDA1082E803}">
      <formula1>INDIRECT(SUBSTITUTE(SUBSTITUTE(SUBSTITUTE(C45," ",""),".",""),"/",""))</formula1>
    </dataValidation>
    <dataValidation type="list" showErrorMessage="1" sqref="D46" xr:uid="{80C5E887-CEC1-4027-85C2-9EB9CB006E21}">
      <formula1>INDIRECT(SUBSTITUTE(SUBSTITUTE(SUBSTITUTE(C46," ",""),".",""),"/",""))</formula1>
    </dataValidation>
    <dataValidation type="list" showErrorMessage="1" sqref="D47" xr:uid="{A0BB70F0-B866-4E0B-9532-EB6613ADE560}">
      <formula1>INDIRECT(SUBSTITUTE(SUBSTITUTE(SUBSTITUTE(C47," ",""),".",""),"/",""))</formula1>
    </dataValidation>
    <dataValidation type="list" showErrorMessage="1" sqref="D48" xr:uid="{5AF93FAA-4A52-4450-9E89-90886ABBD450}">
      <formula1>INDIRECT(SUBSTITUTE(SUBSTITUTE(SUBSTITUTE(C48," ",""),".",""),"/",""))</formula1>
    </dataValidation>
    <dataValidation type="list" showErrorMessage="1" sqref="D49" xr:uid="{20694DFB-D9E3-4B20-978A-C2BD21526850}">
      <formula1>INDIRECT(SUBSTITUTE(SUBSTITUTE(SUBSTITUTE(C49," ",""),".",""),"/",""))</formula1>
    </dataValidation>
    <dataValidation type="list" showErrorMessage="1" sqref="D50" xr:uid="{62129FE4-A069-4A94-B7CA-4CE0AC716E79}">
      <formula1>INDIRECT(SUBSTITUTE(SUBSTITUTE(SUBSTITUTE(C50," ",""),".",""),"/",""))</formula1>
    </dataValidation>
    <dataValidation type="list" showErrorMessage="1" sqref="D51" xr:uid="{54F7F2C8-0E97-421B-960D-74075D7EBF7A}">
      <formula1>INDIRECT(SUBSTITUTE(SUBSTITUTE(SUBSTITUTE(C51," ",""),".",""),"/",""))</formula1>
    </dataValidation>
    <dataValidation type="list" showErrorMessage="1" sqref="D52" xr:uid="{88027408-15C2-47DF-A9C2-012F286169FE}">
      <formula1>INDIRECT(SUBSTITUTE(SUBSTITUTE(SUBSTITUTE(C52," ",""),".",""),"/",""))</formula1>
    </dataValidation>
    <dataValidation type="list" showErrorMessage="1" sqref="D53" xr:uid="{F5B5F466-D94C-43E8-B826-27ECDB105E04}">
      <formula1>INDIRECT(SUBSTITUTE(SUBSTITUTE(SUBSTITUTE(C53," ",""),".",""),"/",""))</formula1>
    </dataValidation>
    <dataValidation type="list" showErrorMessage="1" sqref="D54" xr:uid="{502BA399-54DE-40B3-B96D-DECA53D06A2D}">
      <formula1>INDIRECT(SUBSTITUTE(SUBSTITUTE(SUBSTITUTE(C54," ",""),".",""),"/",""))</formula1>
    </dataValidation>
    <dataValidation type="list" showErrorMessage="1" sqref="D55" xr:uid="{B1D10965-83D5-49FB-AE61-180425CA0B1A}">
      <formula1>INDIRECT(SUBSTITUTE(SUBSTITUTE(SUBSTITUTE(C55," ",""),".",""),"/",""))</formula1>
    </dataValidation>
    <dataValidation type="list" showErrorMessage="1" sqref="D56" xr:uid="{D6AA99D1-7D67-47D9-BE4A-08AEC1D00181}">
      <formula1>INDIRECT(SUBSTITUTE(SUBSTITUTE(SUBSTITUTE(C56," ",""),".",""),"/",""))</formula1>
    </dataValidation>
    <dataValidation type="list" showErrorMessage="1" sqref="D57" xr:uid="{7D5FF5E2-0355-4BA7-84FE-F9681808A933}">
      <formula1>INDIRECT(SUBSTITUTE(SUBSTITUTE(SUBSTITUTE(C57," ",""),".",""),"/",""))</formula1>
    </dataValidation>
    <dataValidation type="list" showErrorMessage="1" sqref="D58" xr:uid="{4DE84908-CC05-4859-9781-A5CEE35E3957}">
      <formula1>INDIRECT(SUBSTITUTE(SUBSTITUTE(SUBSTITUTE(C58," ",""),".",""),"/",""))</formula1>
    </dataValidation>
    <dataValidation type="list" showErrorMessage="1" sqref="D59" xr:uid="{DE84AEC6-25C4-407F-AA6C-965D5B99DC72}">
      <formula1>INDIRECT(SUBSTITUTE(SUBSTITUTE(SUBSTITUTE(C59," ",""),".",""),"/",""))</formula1>
    </dataValidation>
    <dataValidation type="list" showErrorMessage="1" sqref="D60" xr:uid="{E49CB9A0-ACAB-4451-9DB4-FCAAA07988BC}">
      <formula1>INDIRECT(SUBSTITUTE(SUBSTITUTE(SUBSTITUTE(C60," ",""),".",""),"/",""))</formula1>
    </dataValidation>
    <dataValidation type="list" showErrorMessage="1" sqref="D61" xr:uid="{213DC09D-CB86-4767-8912-DF18440524F3}">
      <formula1>INDIRECT(SUBSTITUTE(SUBSTITUTE(SUBSTITUTE(C61," ",""),".",""),"/",""))</formula1>
    </dataValidation>
    <dataValidation type="list" showErrorMessage="1" sqref="D62" xr:uid="{D88E0497-4D80-490F-84B8-FC9FCF449F6F}">
      <formula1>INDIRECT(SUBSTITUTE(SUBSTITUTE(SUBSTITUTE(C62," ",""),".",""),"/",""))</formula1>
    </dataValidation>
    <dataValidation type="list" showErrorMessage="1" sqref="D63" xr:uid="{FF1A0DB3-F3FE-4ECC-A7E6-8683C67E9731}">
      <formula1>INDIRECT(SUBSTITUTE(SUBSTITUTE(SUBSTITUTE(C63," ",""),".",""),"/",""))</formula1>
    </dataValidation>
    <dataValidation type="list" showErrorMessage="1" sqref="D64" xr:uid="{2BD96A76-013B-48F6-A547-50BFE673F2B8}">
      <formula1>INDIRECT(SUBSTITUTE(SUBSTITUTE(SUBSTITUTE(C64," ",""),".",""),"/",""))</formula1>
    </dataValidation>
    <dataValidation type="list" showErrorMessage="1" sqref="D65" xr:uid="{B87C591F-FC34-46B4-99AE-7D0E29C354A2}">
      <formula1>INDIRECT(SUBSTITUTE(SUBSTITUTE(SUBSTITUTE(C65," ",""),".",""),"/",""))</formula1>
    </dataValidation>
    <dataValidation type="list" showErrorMessage="1" sqref="D66" xr:uid="{8E649EB5-6A84-4594-8693-CB01158AA056}">
      <formula1>INDIRECT(SUBSTITUTE(SUBSTITUTE(SUBSTITUTE(C66," ",""),".",""),"/",""))</formula1>
    </dataValidation>
    <dataValidation type="list" showErrorMessage="1" sqref="D67" xr:uid="{B720A4E5-89F5-4656-A1A8-8344A1286011}">
      <formula1>INDIRECT(SUBSTITUTE(SUBSTITUTE(SUBSTITUTE(C67," ",""),".",""),"/",""))</formula1>
    </dataValidation>
    <dataValidation type="list" showErrorMessage="1" sqref="D68" xr:uid="{B7E03999-282B-4921-B93A-27C8EE6D578D}">
      <formula1>INDIRECT(SUBSTITUTE(SUBSTITUTE(SUBSTITUTE(C68," ",""),".",""),"/",""))</formula1>
    </dataValidation>
    <dataValidation type="list" showErrorMessage="1" sqref="D69" xr:uid="{E6DFC78E-6647-49A5-BC17-7B03DAFE82D1}">
      <formula1>INDIRECT(SUBSTITUTE(SUBSTITUTE(SUBSTITUTE(C69," ",""),".",""),"/",""))</formula1>
    </dataValidation>
    <dataValidation type="list" showErrorMessage="1" sqref="D70" xr:uid="{25095B42-FF57-4089-AEA6-FDB29E77343C}">
      <formula1>INDIRECT(SUBSTITUTE(SUBSTITUTE(SUBSTITUTE(C70," ",""),".",""),"/",""))</formula1>
    </dataValidation>
    <dataValidation type="list" showErrorMessage="1" sqref="D71" xr:uid="{E43FC402-4767-43F3-954E-4888BDC406C4}">
      <formula1>INDIRECT(SUBSTITUTE(SUBSTITUTE(SUBSTITUTE(C71," ",""),".",""),"/",""))</formula1>
    </dataValidation>
    <dataValidation type="list" showErrorMessage="1" sqref="D72" xr:uid="{701EB5CF-47B4-4C14-9F07-7CE4DFCFCD71}">
      <formula1>INDIRECT(SUBSTITUTE(SUBSTITUTE(SUBSTITUTE(C72," ",""),".",""),"/",""))</formula1>
    </dataValidation>
    <dataValidation type="list" showErrorMessage="1" sqref="D73" xr:uid="{F3537E14-241C-44C8-9FD1-578B6F7D92F8}">
      <formula1>INDIRECT(SUBSTITUTE(SUBSTITUTE(SUBSTITUTE(C73," ",""),".",""),"/",""))</formula1>
    </dataValidation>
    <dataValidation type="list" showErrorMessage="1" sqref="D74" xr:uid="{CD9A0473-E6D3-4EAD-A611-4CFC8010DCB1}">
      <formula1>INDIRECT(SUBSTITUTE(SUBSTITUTE(SUBSTITUTE(C74," ",""),".",""),"/",""))</formula1>
    </dataValidation>
    <dataValidation type="list" showErrorMessage="1" sqref="D75" xr:uid="{82216F2F-59A5-4C46-AD79-3A3CF2204D1B}">
      <formula1>INDIRECT(SUBSTITUTE(SUBSTITUTE(SUBSTITUTE(C75," ",""),".",""),"/",""))</formula1>
    </dataValidation>
    <dataValidation type="list" showErrorMessage="1" sqref="D76" xr:uid="{9FDB2AED-999B-46CD-8568-AFF53CB1E5FC}">
      <formula1>INDIRECT(SUBSTITUTE(SUBSTITUTE(SUBSTITUTE(C76," ",""),".",""),"/",""))</formula1>
    </dataValidation>
    <dataValidation type="list" showErrorMessage="1" sqref="D77" xr:uid="{175A0723-28AC-419A-89C3-D7CB3990F5FB}">
      <formula1>INDIRECT(SUBSTITUTE(SUBSTITUTE(SUBSTITUTE(C77," ",""),".",""),"/",""))</formula1>
    </dataValidation>
    <dataValidation type="list" showErrorMessage="1" sqref="D78" xr:uid="{8222FF1A-73AC-469B-855B-F0A8CEFE3B6A}">
      <formula1>INDIRECT(SUBSTITUTE(SUBSTITUTE(SUBSTITUTE(C78," ",""),".",""),"/",""))</formula1>
    </dataValidation>
    <dataValidation type="list" showErrorMessage="1" sqref="D79" xr:uid="{171D9A87-A041-4E42-BF95-CCE95D11B7EB}">
      <formula1>INDIRECT(SUBSTITUTE(SUBSTITUTE(SUBSTITUTE(C79," ",""),".",""),"/",""))</formula1>
    </dataValidation>
    <dataValidation type="list" showErrorMessage="1" sqref="D80" xr:uid="{BEB38BDC-387E-4113-9473-7086B6ED7500}">
      <formula1>INDIRECT(SUBSTITUTE(SUBSTITUTE(SUBSTITUTE(C80," ",""),".",""),"/",""))</formula1>
    </dataValidation>
    <dataValidation type="list" showErrorMessage="1" sqref="D81" xr:uid="{96B01333-81E4-4B4B-B000-C5B6C301638A}">
      <formula1>INDIRECT(SUBSTITUTE(SUBSTITUTE(SUBSTITUTE(C81," ",""),".",""),"/",""))</formula1>
    </dataValidation>
    <dataValidation type="list" showErrorMessage="1" sqref="D82" xr:uid="{CA647F93-1B70-4122-B6D4-C4E98F2FCF3D}">
      <formula1>INDIRECT(SUBSTITUTE(SUBSTITUTE(SUBSTITUTE(C82," ",""),".",""),"/",""))</formula1>
    </dataValidation>
    <dataValidation type="list" showErrorMessage="1" sqref="D83" xr:uid="{5F0DCF4C-57EE-4B06-ABB5-31F2A9784CCA}">
      <formula1>INDIRECT(SUBSTITUTE(SUBSTITUTE(SUBSTITUTE(C83," ",""),".",""),"/",""))</formula1>
    </dataValidation>
    <dataValidation type="list" showErrorMessage="1" sqref="D84" xr:uid="{DB59F0DC-4D80-488D-B17A-64892F1C734D}">
      <formula1>INDIRECT(SUBSTITUTE(SUBSTITUTE(SUBSTITUTE(C84," ",""),".",""),"/",""))</formula1>
    </dataValidation>
    <dataValidation type="list" showErrorMessage="1" sqref="D85" xr:uid="{378CC39E-C344-4FE0-955E-96EAA960472C}">
      <formula1>INDIRECT(SUBSTITUTE(SUBSTITUTE(SUBSTITUTE(C85," ",""),".",""),"/",""))</formula1>
    </dataValidation>
    <dataValidation type="list" showErrorMessage="1" sqref="D86" xr:uid="{5B0C5570-96A5-4318-9D99-6D5677358645}">
      <formula1>INDIRECT(SUBSTITUTE(SUBSTITUTE(SUBSTITUTE(C86," ",""),".",""),"/",""))</formula1>
    </dataValidation>
    <dataValidation type="list" showErrorMessage="1" sqref="D87" xr:uid="{F3135C31-568B-462D-BF9A-88D933CE07D4}">
      <formula1>INDIRECT(SUBSTITUTE(SUBSTITUTE(SUBSTITUTE(C87," ",""),".",""),"/",""))</formula1>
    </dataValidation>
    <dataValidation type="list" showErrorMessage="1" sqref="D88" xr:uid="{1499A0A5-06FD-495F-802F-94AC290CDE99}">
      <formula1>INDIRECT(SUBSTITUTE(SUBSTITUTE(SUBSTITUTE(C88," ",""),".",""),"/",""))</formula1>
    </dataValidation>
    <dataValidation type="list" showErrorMessage="1" sqref="D89" xr:uid="{01BAF307-231B-4BAF-8D89-51BD47775926}">
      <formula1>INDIRECT(SUBSTITUTE(SUBSTITUTE(SUBSTITUTE(C89," ",""),".",""),"/",""))</formula1>
    </dataValidation>
    <dataValidation type="list" showErrorMessage="1" sqref="D90" xr:uid="{0E618A12-0EE0-4712-BCAA-A4CEF14E4111}">
      <formula1>INDIRECT(SUBSTITUTE(SUBSTITUTE(SUBSTITUTE(C90," ",""),".",""),"/",""))</formula1>
    </dataValidation>
    <dataValidation type="list" showErrorMessage="1" sqref="D91" xr:uid="{7D0DA07F-6E90-4A00-ABCB-715634AF21E9}">
      <formula1>INDIRECT(SUBSTITUTE(SUBSTITUTE(SUBSTITUTE(C91," ",""),".",""),"/",""))</formula1>
    </dataValidation>
    <dataValidation type="list" showErrorMessage="1" sqref="D92" xr:uid="{22BC0D54-D362-4056-AE5B-539EB650D4E3}">
      <formula1>INDIRECT(SUBSTITUTE(SUBSTITUTE(SUBSTITUTE(C92," ",""),".",""),"/",""))</formula1>
    </dataValidation>
    <dataValidation type="list" showErrorMessage="1" sqref="D93" xr:uid="{42667C85-A10B-415D-8DA2-456ADB2D2AC5}">
      <formula1>INDIRECT(SUBSTITUTE(SUBSTITUTE(SUBSTITUTE(C93," ",""),".",""),"/",""))</formula1>
    </dataValidation>
    <dataValidation type="list" showErrorMessage="1" sqref="D94" xr:uid="{FE29E2D2-F08D-42D3-AE5E-ED2C26C3F151}">
      <formula1>INDIRECT(SUBSTITUTE(SUBSTITUTE(SUBSTITUTE(C94," ",""),".",""),"/",""))</formula1>
    </dataValidation>
    <dataValidation type="list" showErrorMessage="1" sqref="D95" xr:uid="{C05D1AAD-09C5-43A4-9AEE-E48185E91931}">
      <formula1>INDIRECT(SUBSTITUTE(SUBSTITUTE(SUBSTITUTE(C95," ",""),".",""),"/",""))</formula1>
    </dataValidation>
    <dataValidation type="list" showErrorMessage="1" sqref="D96" xr:uid="{AD9BDDE9-B700-4A52-AE56-826C8DDD13B3}">
      <formula1>INDIRECT(SUBSTITUTE(SUBSTITUTE(SUBSTITUTE(C96," ",""),".",""),"/",""))</formula1>
    </dataValidation>
    <dataValidation type="list" showErrorMessage="1" sqref="D97" xr:uid="{4051BDC2-B4E5-407B-A333-0CEA1DE5279D}">
      <formula1>INDIRECT(SUBSTITUTE(SUBSTITUTE(SUBSTITUTE(C97," ",""),".",""),"/",""))</formula1>
    </dataValidation>
    <dataValidation type="list" showErrorMessage="1" sqref="D98" xr:uid="{C5388064-7C1B-40CA-AF5F-AEF313B0AA1A}">
      <formula1>INDIRECT(SUBSTITUTE(SUBSTITUTE(SUBSTITUTE(C98," ",""),".",""),"/",""))</formula1>
    </dataValidation>
    <dataValidation type="list" showErrorMessage="1" sqref="D99" xr:uid="{383B4D6F-A787-4F32-8C2A-573AAB337014}">
      <formula1>INDIRECT(SUBSTITUTE(SUBSTITUTE(SUBSTITUTE(C99," ",""),".",""),"/",""))</formula1>
    </dataValidation>
    <dataValidation type="list" showErrorMessage="1" sqref="D100" xr:uid="{7693FCE3-4FF7-4579-83B8-6B49D15214B4}">
      <formula1>INDIRECT(SUBSTITUTE(SUBSTITUTE(SUBSTITUTE(C100," ",""),".",""),"/",""))</formula1>
    </dataValidation>
    <dataValidation type="list" showErrorMessage="1" sqref="D101" xr:uid="{9EFA9530-5C53-49AE-9DED-C45CD646CDD2}">
      <formula1>INDIRECT(SUBSTITUTE(SUBSTITUTE(SUBSTITUTE(C101," ",""),".",""),"/",""))</formula1>
    </dataValidation>
    <dataValidation type="list" showErrorMessage="1" sqref="D102" xr:uid="{85331605-6FC2-41AC-A4FE-1E5510CF4B42}">
      <formula1>INDIRECT(SUBSTITUTE(SUBSTITUTE(SUBSTITUTE(C102," ",""),".",""),"/",""))</formula1>
    </dataValidation>
    <dataValidation type="list" showErrorMessage="1" sqref="D103" xr:uid="{4C9D7BE3-8DB3-47A7-98D0-15CD8F2C5F7C}">
      <formula1>INDIRECT(SUBSTITUTE(SUBSTITUTE(SUBSTITUTE(C103," ",""),".",""),"/",""))</formula1>
    </dataValidation>
    <dataValidation type="list" showErrorMessage="1" sqref="D104" xr:uid="{4DF7843E-1F5B-49CB-AAF7-FCE5A062F54E}">
      <formula1>INDIRECT(SUBSTITUTE(SUBSTITUTE(SUBSTITUTE(C104," ",""),".",""),"/",""))</formula1>
    </dataValidation>
    <dataValidation type="list" showErrorMessage="1" sqref="D105" xr:uid="{3065F9D8-1623-47E5-BF24-B935F9D06F73}">
      <formula1>INDIRECT(SUBSTITUTE(SUBSTITUTE(SUBSTITUTE(C105," ",""),".",""),"/",""))</formula1>
    </dataValidation>
    <dataValidation type="list" showErrorMessage="1" sqref="D106" xr:uid="{E02AA31A-423D-4394-B1DF-338560312D7B}">
      <formula1>INDIRECT(SUBSTITUTE(SUBSTITUTE(SUBSTITUTE(C106," ",""),".",""),"/",""))</formula1>
    </dataValidation>
    <dataValidation type="list" showErrorMessage="1" sqref="D107" xr:uid="{B9FCA17E-5463-4DCE-9881-CA6F8480245D}">
      <formula1>INDIRECT(SUBSTITUTE(SUBSTITUTE(SUBSTITUTE(C107," ",""),".",""),"/",""))</formula1>
    </dataValidation>
    <dataValidation type="list" showErrorMessage="1" sqref="D108" xr:uid="{686412F5-FE2C-4A54-A6A1-48EA02DF9327}">
      <formula1>INDIRECT(SUBSTITUTE(SUBSTITUTE(SUBSTITUTE(C108," ",""),".",""),"/",""))</formula1>
    </dataValidation>
    <dataValidation type="list" showErrorMessage="1" sqref="D109" xr:uid="{8EB1EC08-864D-4B84-9918-4358CED35F10}">
      <formula1>INDIRECT(SUBSTITUTE(SUBSTITUTE(SUBSTITUTE(C109," ",""),".",""),"/",""))</formula1>
    </dataValidation>
    <dataValidation type="list" showErrorMessage="1" sqref="F10:F109" xr:uid="{59DF2D40-C64C-49CB-9286-AF5B482EFE85}">
      <formula1>ExpansionDegrees</formula1>
    </dataValidation>
    <dataValidation type="list" showErrorMessage="1" sqref="G10:G109" xr:uid="{CC1C0822-F915-4713-9BFC-576BE932CB1F}">
      <formula1>ElectronicsQualities</formula1>
    </dataValidation>
    <dataValidation type="list" showErrorMessage="1" sqref="N10:N109" xr:uid="{CB999A90-2EB5-4B40-A383-2A8C9ACF77A1}">
      <formula1>CalculationBase_NoMeter</formula1>
    </dataValidation>
    <dataValidation type="textLength" operator="lessThanOrEqual" allowBlank="1" showInputMessage="1" showErrorMessage="1" prompt="Max. 250 Zeichen." sqref="B10:B110" xr:uid="{31DFC69A-1A1E-47B1-B401-BB3EFCE19EE0}">
      <formula1>250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2517-841A-4B5B-9CDC-D7DF3CABCC76}">
  <sheetPr codeName="Sheet15"/>
  <dimension ref="A1:W120"/>
  <sheetViews>
    <sheetView zoomScaleNormal="100" workbookViewId="0"/>
  </sheetViews>
  <sheetFormatPr defaultColWidth="9.1796875" defaultRowHeight="15" customHeight="1" x14ac:dyDescent="0.25"/>
  <cols>
    <col min="1" max="1" width="8.26953125" style="86" customWidth="1"/>
    <col min="2" max="3" width="8.26953125" style="1" customWidth="1"/>
    <col min="4" max="5" width="31.7265625" style="1" customWidth="1"/>
    <col min="6" max="6" width="15" style="21" customWidth="1"/>
    <col min="7" max="7" width="22.26953125" style="1" customWidth="1"/>
    <col min="8" max="8" width="20.453125" style="1" customWidth="1"/>
    <col min="9" max="9" width="16.7265625" style="1" bestFit="1" customWidth="1"/>
    <col min="10" max="10" width="16.1796875" style="1" bestFit="1" customWidth="1"/>
    <col min="11" max="11" width="16.7265625" style="1" bestFit="1" customWidth="1"/>
    <col min="12" max="12" width="16.1796875" style="1" bestFit="1" customWidth="1"/>
    <col min="13" max="13" width="22.1796875" style="1" customWidth="1"/>
    <col min="14" max="14" width="16.1796875" style="1" bestFit="1" customWidth="1"/>
    <col min="15" max="15" width="6.26953125" style="1" bestFit="1" customWidth="1"/>
    <col min="16" max="16" width="23.54296875" style="1" bestFit="1" customWidth="1"/>
    <col min="17" max="17" width="9.7265625" style="1" bestFit="1" customWidth="1"/>
    <col min="18" max="18" width="10" style="1" bestFit="1" customWidth="1"/>
    <col min="19" max="19" width="11.26953125" style="1" bestFit="1" customWidth="1"/>
    <col min="20" max="20" width="10.54296875" style="1" bestFit="1" customWidth="1"/>
    <col min="21" max="21" width="18.26953125" style="1" bestFit="1" customWidth="1"/>
    <col min="22" max="22" width="34.1796875" style="1" bestFit="1" customWidth="1"/>
    <col min="23" max="16384" width="9.1796875" style="1"/>
  </cols>
  <sheetData>
    <row r="1" spans="1:23" s="198" customFormat="1" ht="15" customHeight="1" thickBot="1" x14ac:dyDescent="0.3">
      <c r="A1" s="178" t="s">
        <v>774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</row>
    <row r="2" spans="1:23" ht="40.5" customHeight="1" x14ac:dyDescent="0.25"/>
    <row r="3" spans="1:23" s="34" customFormat="1" ht="30" customHeight="1" x14ac:dyDescent="0.25">
      <c r="A3" s="164" t="s">
        <v>342</v>
      </c>
      <c r="B3" s="183"/>
      <c r="C3" s="166"/>
      <c r="D3" s="166"/>
      <c r="E3" s="166"/>
      <c r="F3" s="166"/>
    </row>
    <row r="4" spans="1:23" ht="15" customHeight="1" x14ac:dyDescent="0.25">
      <c r="A4" s="157" t="s">
        <v>193</v>
      </c>
      <c r="B4" s="217"/>
      <c r="C4" s="166"/>
      <c r="D4" s="166"/>
      <c r="E4" s="166"/>
      <c r="F4" s="166"/>
      <c r="G4" s="21"/>
      <c r="H4" s="30"/>
      <c r="I4" s="21"/>
    </row>
    <row r="5" spans="1:23" ht="62.25" customHeight="1" x14ac:dyDescent="0.25">
      <c r="A5" s="170" t="s">
        <v>18</v>
      </c>
      <c r="B5" s="176"/>
      <c r="C5" s="166"/>
      <c r="D5" s="166"/>
      <c r="E5" s="166"/>
      <c r="F5" s="166"/>
      <c r="G5" s="21"/>
      <c r="H5" s="30"/>
      <c r="I5" s="21"/>
    </row>
    <row r="6" spans="1:23" ht="62.25" customHeight="1" x14ac:dyDescent="0.25">
      <c r="A6" s="170" t="s">
        <v>91</v>
      </c>
      <c r="B6" s="176"/>
      <c r="C6" s="166"/>
      <c r="D6" s="166"/>
      <c r="E6" s="166"/>
      <c r="F6" s="166"/>
      <c r="G6" s="21"/>
      <c r="H6" s="30"/>
      <c r="I6" s="2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5" customHeight="1" x14ac:dyDescent="0.25">
      <c r="A7" s="87"/>
      <c r="B7" s="87"/>
      <c r="C7" s="87"/>
      <c r="D7" s="53"/>
      <c r="E7" s="84"/>
      <c r="F7" s="103"/>
      <c r="G7" s="21"/>
      <c r="H7" s="30"/>
      <c r="I7" s="2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34.5" customHeight="1" x14ac:dyDescent="0.25">
      <c r="A8" s="124" t="s">
        <v>16</v>
      </c>
      <c r="B8" s="129" t="s">
        <v>21</v>
      </c>
      <c r="C8" s="120" t="s">
        <v>190</v>
      </c>
      <c r="D8" s="129" t="s">
        <v>27</v>
      </c>
      <c r="E8" s="120" t="s">
        <v>199</v>
      </c>
      <c r="F8" s="130" t="s">
        <v>192</v>
      </c>
      <c r="G8" s="129" t="s">
        <v>191</v>
      </c>
      <c r="H8" s="129" t="s">
        <v>201</v>
      </c>
      <c r="I8" s="129" t="s">
        <v>135</v>
      </c>
      <c r="J8" s="119" t="s">
        <v>204</v>
      </c>
      <c r="K8" s="119" t="s">
        <v>205</v>
      </c>
      <c r="L8" s="119" t="s">
        <v>196</v>
      </c>
      <c r="M8" s="119" t="s">
        <v>197</v>
      </c>
    </row>
    <row r="9" spans="1:23" ht="15" customHeight="1" x14ac:dyDescent="0.25">
      <c r="G9" s="24"/>
      <c r="H9" s="21"/>
    </row>
    <row r="10" spans="1:23" ht="15" customHeight="1" x14ac:dyDescent="0.25">
      <c r="A10" s="87"/>
      <c r="B10" s="87"/>
      <c r="C10" s="87"/>
      <c r="D10" s="53"/>
      <c r="E10" s="84"/>
      <c r="F10" s="103"/>
      <c r="G10" s="24"/>
      <c r="H10" s="21"/>
      <c r="I10" s="21"/>
    </row>
    <row r="11" spans="1:23" ht="15" customHeight="1" x14ac:dyDescent="0.25">
      <c r="A11" s="87"/>
      <c r="B11" s="87"/>
      <c r="C11" s="87"/>
      <c r="D11" s="53"/>
      <c r="E11" s="84"/>
      <c r="F11" s="103"/>
      <c r="G11" s="24"/>
      <c r="H11" s="21"/>
      <c r="I11" s="21"/>
    </row>
    <row r="12" spans="1:23" ht="15" customHeight="1" x14ac:dyDescent="0.25">
      <c r="A12" s="87"/>
      <c r="B12" s="87"/>
      <c r="C12" s="87"/>
      <c r="D12" s="53"/>
      <c r="E12" s="84"/>
      <c r="F12" s="103"/>
      <c r="G12" s="24"/>
      <c r="H12" s="21"/>
      <c r="I12" s="21"/>
    </row>
    <row r="13" spans="1:23" ht="15" customHeight="1" x14ac:dyDescent="0.25">
      <c r="A13" s="87"/>
      <c r="B13" s="87"/>
      <c r="C13" s="87"/>
      <c r="D13" s="53"/>
      <c r="E13" s="84"/>
      <c r="F13" s="103"/>
      <c r="G13" s="24"/>
      <c r="H13" s="21"/>
      <c r="I13" s="21"/>
    </row>
    <row r="14" spans="1:23" ht="15" customHeight="1" x14ac:dyDescent="0.25">
      <c r="A14" s="87"/>
      <c r="B14" s="87"/>
      <c r="C14" s="87"/>
      <c r="D14" s="53"/>
      <c r="E14" s="84"/>
      <c r="F14" s="103"/>
      <c r="G14" s="24"/>
      <c r="H14" s="21"/>
      <c r="I14" s="21"/>
    </row>
    <row r="15" spans="1:23" ht="15" customHeight="1" x14ac:dyDescent="0.25">
      <c r="A15" s="87"/>
      <c r="B15" s="87"/>
      <c r="C15" s="87"/>
      <c r="D15" s="53"/>
      <c r="E15" s="84"/>
      <c r="F15" s="103"/>
      <c r="G15" s="24"/>
      <c r="H15" s="21"/>
      <c r="I15" s="21"/>
    </row>
    <row r="16" spans="1:23" ht="15" customHeight="1" x14ac:dyDescent="0.25">
      <c r="A16" s="87"/>
      <c r="B16" s="87"/>
      <c r="C16" s="87"/>
      <c r="D16" s="53"/>
      <c r="E16" s="84"/>
      <c r="F16" s="103"/>
      <c r="G16" s="24"/>
      <c r="H16" s="21"/>
      <c r="I16" s="21"/>
    </row>
    <row r="17" spans="1:9" ht="15" customHeight="1" x14ac:dyDescent="0.25">
      <c r="A17" s="87"/>
      <c r="B17" s="87"/>
      <c r="C17" s="87"/>
      <c r="D17" s="53"/>
      <c r="E17" s="84"/>
      <c r="F17" s="103"/>
      <c r="G17" s="24"/>
      <c r="H17" s="21"/>
      <c r="I17" s="21"/>
    </row>
    <row r="18" spans="1:9" ht="15" customHeight="1" x14ac:dyDescent="0.25">
      <c r="A18" s="87"/>
      <c r="B18" s="87"/>
      <c r="C18" s="87"/>
      <c r="D18" s="53"/>
      <c r="E18" s="84"/>
      <c r="F18" s="103"/>
      <c r="G18" s="24"/>
      <c r="H18" s="21"/>
      <c r="I18" s="21"/>
    </row>
    <row r="19" spans="1:9" ht="15" customHeight="1" x14ac:dyDescent="0.25">
      <c r="A19" s="87"/>
      <c r="B19" s="87"/>
      <c r="C19" s="87"/>
      <c r="D19" s="53"/>
      <c r="E19" s="84"/>
      <c r="F19" s="103"/>
      <c r="G19" s="24"/>
      <c r="H19" s="21"/>
      <c r="I19" s="21"/>
    </row>
    <row r="20" spans="1:9" ht="15" customHeight="1" x14ac:dyDescent="0.25">
      <c r="A20" s="87"/>
      <c r="B20" s="87"/>
      <c r="C20" s="87"/>
      <c r="D20" s="53"/>
      <c r="E20" s="84"/>
      <c r="F20" s="103"/>
      <c r="G20" s="24"/>
      <c r="H20" s="21"/>
      <c r="I20" s="21"/>
    </row>
    <row r="21" spans="1:9" ht="15" customHeight="1" x14ac:dyDescent="0.25">
      <c r="A21" s="87"/>
      <c r="B21" s="87"/>
      <c r="C21" s="87"/>
      <c r="D21" s="53"/>
      <c r="E21" s="84"/>
      <c r="F21" s="103"/>
      <c r="G21" s="24"/>
      <c r="H21" s="21"/>
      <c r="I21" s="21"/>
    </row>
    <row r="22" spans="1:9" ht="15" customHeight="1" x14ac:dyDescent="0.25">
      <c r="A22" s="87"/>
      <c r="B22" s="87"/>
      <c r="C22" s="87"/>
      <c r="D22" s="53"/>
      <c r="E22" s="84"/>
      <c r="F22" s="103"/>
      <c r="G22" s="24"/>
      <c r="H22" s="21"/>
      <c r="I22" s="21"/>
    </row>
    <row r="23" spans="1:9" ht="15" customHeight="1" x14ac:dyDescent="0.25">
      <c r="A23" s="87"/>
      <c r="B23" s="87"/>
      <c r="C23" s="87"/>
      <c r="D23" s="53"/>
      <c r="E23" s="84"/>
      <c r="F23" s="103"/>
      <c r="G23" s="24"/>
      <c r="H23" s="21"/>
      <c r="I23" s="21"/>
    </row>
    <row r="24" spans="1:9" ht="15" customHeight="1" x14ac:dyDescent="0.25">
      <c r="A24" s="87"/>
      <c r="B24" s="87"/>
      <c r="C24" s="87"/>
      <c r="D24" s="53"/>
      <c r="E24" s="84"/>
      <c r="F24" s="103"/>
      <c r="G24" s="24"/>
      <c r="H24" s="21"/>
      <c r="I24" s="21"/>
    </row>
    <row r="25" spans="1:9" ht="15" customHeight="1" x14ac:dyDescent="0.25">
      <c r="A25" s="87"/>
      <c r="B25" s="87"/>
      <c r="C25" s="87"/>
      <c r="D25" s="53"/>
      <c r="E25" s="84"/>
      <c r="F25" s="103"/>
      <c r="G25" s="24"/>
      <c r="H25" s="21"/>
      <c r="I25" s="21"/>
    </row>
    <row r="26" spans="1:9" ht="15" customHeight="1" x14ac:dyDescent="0.25">
      <c r="A26" s="87"/>
      <c r="B26" s="87"/>
      <c r="C26" s="87"/>
      <c r="D26" s="53"/>
      <c r="E26" s="84"/>
      <c r="F26" s="103"/>
      <c r="G26" s="24"/>
      <c r="H26" s="21"/>
      <c r="I26" s="21"/>
    </row>
    <row r="27" spans="1:9" ht="15" customHeight="1" x14ac:dyDescent="0.25">
      <c r="A27" s="87"/>
      <c r="B27" s="87"/>
      <c r="C27" s="87"/>
      <c r="D27" s="53"/>
      <c r="E27" s="84"/>
      <c r="F27" s="103"/>
      <c r="G27" s="24"/>
      <c r="H27" s="21"/>
      <c r="I27" s="21"/>
    </row>
    <row r="28" spans="1:9" ht="15" customHeight="1" x14ac:dyDescent="0.25">
      <c r="A28" s="87"/>
      <c r="B28" s="87"/>
      <c r="C28" s="87"/>
      <c r="D28" s="53"/>
      <c r="E28" s="84"/>
      <c r="F28" s="103"/>
      <c r="G28" s="24"/>
      <c r="H28" s="21"/>
      <c r="I28" s="21"/>
    </row>
    <row r="29" spans="1:9" ht="15" customHeight="1" x14ac:dyDescent="0.25">
      <c r="A29" s="87"/>
      <c r="B29" s="87"/>
      <c r="C29" s="87"/>
      <c r="D29" s="53"/>
      <c r="E29" s="84"/>
      <c r="F29" s="103"/>
      <c r="G29" s="24"/>
      <c r="H29" s="21"/>
      <c r="I29" s="21"/>
    </row>
    <row r="30" spans="1:9" ht="15" customHeight="1" x14ac:dyDescent="0.25">
      <c r="A30" s="87"/>
      <c r="B30" s="87"/>
      <c r="C30" s="87"/>
      <c r="D30" s="53"/>
      <c r="E30" s="84"/>
      <c r="F30" s="103"/>
      <c r="G30" s="24"/>
      <c r="H30" s="21"/>
      <c r="I30" s="21"/>
    </row>
    <row r="31" spans="1:9" ht="15" customHeight="1" x14ac:dyDescent="0.25">
      <c r="A31" s="87"/>
      <c r="B31" s="87"/>
      <c r="C31" s="87"/>
      <c r="D31" s="53"/>
      <c r="E31" s="84"/>
      <c r="F31" s="103"/>
      <c r="G31" s="24"/>
      <c r="H31" s="21"/>
      <c r="I31" s="21"/>
    </row>
    <row r="32" spans="1:9" ht="15" customHeight="1" x14ac:dyDescent="0.25">
      <c r="A32" s="87"/>
      <c r="B32" s="87"/>
      <c r="C32" s="87"/>
      <c r="D32" s="53"/>
      <c r="E32" s="84"/>
      <c r="F32" s="103"/>
      <c r="G32" s="24"/>
      <c r="H32" s="21"/>
      <c r="I32" s="21"/>
    </row>
    <row r="33" spans="1:9" ht="15" customHeight="1" x14ac:dyDescent="0.25">
      <c r="A33" s="87"/>
      <c r="B33" s="87"/>
      <c r="C33" s="87"/>
      <c r="D33" s="53"/>
      <c r="E33" s="84"/>
      <c r="F33" s="103"/>
      <c r="G33" s="24"/>
      <c r="H33" s="21"/>
      <c r="I33" s="21"/>
    </row>
    <row r="34" spans="1:9" ht="15" customHeight="1" x14ac:dyDescent="0.25">
      <c r="A34" s="87"/>
      <c r="B34" s="87"/>
      <c r="C34" s="87"/>
      <c r="D34" s="53"/>
      <c r="E34" s="84"/>
      <c r="F34" s="103"/>
      <c r="G34" s="24"/>
      <c r="H34" s="21"/>
      <c r="I34" s="21"/>
    </row>
    <row r="35" spans="1:9" ht="15" customHeight="1" x14ac:dyDescent="0.25">
      <c r="A35" s="87"/>
      <c r="B35" s="87"/>
      <c r="C35" s="87"/>
      <c r="D35" s="53"/>
      <c r="E35" s="84"/>
      <c r="F35" s="103"/>
      <c r="G35" s="24"/>
      <c r="H35" s="21"/>
      <c r="I35" s="21"/>
    </row>
    <row r="36" spans="1:9" ht="15" customHeight="1" x14ac:dyDescent="0.25">
      <c r="A36" s="87"/>
      <c r="B36" s="87"/>
      <c r="C36" s="87"/>
      <c r="D36" s="53"/>
      <c r="E36" s="84"/>
      <c r="F36" s="103"/>
      <c r="G36" s="24"/>
      <c r="H36" s="21"/>
      <c r="I36" s="21"/>
    </row>
    <row r="37" spans="1:9" ht="15" customHeight="1" x14ac:dyDescent="0.25">
      <c r="A37" s="87"/>
      <c r="B37" s="87"/>
      <c r="C37" s="87"/>
      <c r="D37" s="53"/>
      <c r="E37" s="84"/>
      <c r="F37" s="103"/>
      <c r="G37" s="24"/>
      <c r="H37" s="21"/>
      <c r="I37" s="21"/>
    </row>
    <row r="38" spans="1:9" ht="15" customHeight="1" x14ac:dyDescent="0.25">
      <c r="A38" s="87"/>
      <c r="B38" s="87"/>
      <c r="C38" s="87"/>
      <c r="D38" s="53"/>
      <c r="E38" s="84"/>
      <c r="F38" s="103"/>
      <c r="G38" s="24"/>
      <c r="H38" s="21"/>
      <c r="I38" s="21"/>
    </row>
    <row r="39" spans="1:9" ht="15" customHeight="1" x14ac:dyDescent="0.25">
      <c r="A39" s="87"/>
      <c r="B39" s="87"/>
      <c r="C39" s="87"/>
      <c r="D39" s="53"/>
      <c r="E39" s="84"/>
      <c r="F39" s="103"/>
      <c r="G39" s="24"/>
      <c r="H39" s="21"/>
      <c r="I39" s="21"/>
    </row>
    <row r="40" spans="1:9" ht="15" customHeight="1" x14ac:dyDescent="0.25">
      <c r="A40" s="87"/>
      <c r="B40" s="87"/>
      <c r="C40" s="87"/>
      <c r="D40" s="53"/>
      <c r="E40" s="84"/>
      <c r="F40" s="103"/>
      <c r="G40" s="24"/>
      <c r="H40" s="21"/>
      <c r="I40" s="21"/>
    </row>
    <row r="41" spans="1:9" ht="15" customHeight="1" x14ac:dyDescent="0.25">
      <c r="A41" s="87"/>
      <c r="B41" s="87"/>
      <c r="C41" s="87"/>
      <c r="D41" s="53"/>
      <c r="E41" s="84"/>
      <c r="F41" s="103"/>
      <c r="G41" s="24"/>
      <c r="H41" s="21"/>
      <c r="I41" s="21"/>
    </row>
    <row r="42" spans="1:9" ht="15" customHeight="1" x14ac:dyDescent="0.25">
      <c r="A42" s="87"/>
      <c r="B42" s="87"/>
      <c r="C42" s="87"/>
      <c r="D42" s="53"/>
      <c r="E42" s="84"/>
      <c r="F42" s="103"/>
      <c r="G42" s="24"/>
      <c r="H42" s="21"/>
      <c r="I42" s="21"/>
    </row>
    <row r="43" spans="1:9" ht="15" customHeight="1" x14ac:dyDescent="0.25">
      <c r="A43" s="87"/>
      <c r="B43" s="87"/>
      <c r="C43" s="87"/>
      <c r="D43" s="53"/>
      <c r="E43" s="84"/>
      <c r="F43" s="103"/>
      <c r="G43" s="24"/>
      <c r="H43" s="21"/>
      <c r="I43" s="21"/>
    </row>
    <row r="44" spans="1:9" ht="15" customHeight="1" x14ac:dyDescent="0.25">
      <c r="A44" s="87"/>
      <c r="B44" s="87"/>
      <c r="C44" s="87"/>
      <c r="D44" s="53"/>
      <c r="E44" s="84"/>
      <c r="F44" s="103"/>
      <c r="G44" s="24"/>
      <c r="H44" s="21"/>
      <c r="I44" s="21"/>
    </row>
    <row r="45" spans="1:9" ht="15" customHeight="1" x14ac:dyDescent="0.25">
      <c r="A45" s="87"/>
      <c r="B45" s="87"/>
      <c r="C45" s="87"/>
      <c r="D45" s="53"/>
      <c r="E45" s="84"/>
      <c r="F45" s="103"/>
      <c r="G45" s="24"/>
      <c r="H45" s="21"/>
      <c r="I45" s="21"/>
    </row>
    <row r="46" spans="1:9" ht="15" customHeight="1" x14ac:dyDescent="0.25">
      <c r="A46" s="87"/>
      <c r="B46" s="87"/>
      <c r="C46" s="87"/>
      <c r="D46" s="53"/>
      <c r="E46" s="84"/>
      <c r="F46" s="103"/>
      <c r="G46" s="24"/>
      <c r="H46" s="21"/>
      <c r="I46" s="21"/>
    </row>
    <row r="47" spans="1:9" ht="15" customHeight="1" x14ac:dyDescent="0.25">
      <c r="A47" s="87"/>
      <c r="B47" s="87"/>
      <c r="C47" s="87"/>
      <c r="D47" s="53"/>
      <c r="E47" s="84"/>
      <c r="F47" s="103"/>
      <c r="G47" s="24"/>
      <c r="H47" s="21"/>
      <c r="I47" s="21"/>
    </row>
    <row r="48" spans="1:9" ht="15" customHeight="1" x14ac:dyDescent="0.25">
      <c r="A48" s="87"/>
      <c r="B48" s="87"/>
      <c r="C48" s="87"/>
      <c r="D48" s="53"/>
      <c r="E48" s="84"/>
      <c r="F48" s="103"/>
      <c r="G48" s="24"/>
      <c r="H48" s="21"/>
      <c r="I48" s="21"/>
    </row>
    <row r="49" spans="1:9" ht="15" customHeight="1" x14ac:dyDescent="0.25">
      <c r="A49" s="87"/>
      <c r="B49" s="87"/>
      <c r="C49" s="87"/>
      <c r="D49" s="53"/>
      <c r="E49" s="84"/>
      <c r="F49" s="103"/>
      <c r="G49" s="24"/>
      <c r="H49" s="21"/>
      <c r="I49" s="21"/>
    </row>
    <row r="50" spans="1:9" ht="15" customHeight="1" x14ac:dyDescent="0.25">
      <c r="A50" s="87"/>
      <c r="B50" s="87"/>
      <c r="C50" s="87"/>
      <c r="D50" s="53"/>
      <c r="E50" s="84"/>
      <c r="F50" s="103"/>
      <c r="G50" s="24"/>
      <c r="H50" s="21"/>
      <c r="I50" s="21"/>
    </row>
    <row r="51" spans="1:9" ht="15" customHeight="1" x14ac:dyDescent="0.25">
      <c r="A51" s="87"/>
      <c r="B51" s="87"/>
      <c r="C51" s="87"/>
      <c r="D51" s="53"/>
      <c r="E51" s="84"/>
      <c r="F51" s="103"/>
      <c r="G51" s="24"/>
      <c r="H51" s="21"/>
      <c r="I51" s="21"/>
    </row>
    <row r="52" spans="1:9" ht="15" customHeight="1" x14ac:dyDescent="0.25">
      <c r="A52" s="87"/>
      <c r="B52" s="87"/>
      <c r="C52" s="87"/>
      <c r="D52" s="53"/>
      <c r="E52" s="84"/>
      <c r="F52" s="103"/>
      <c r="G52" s="24"/>
      <c r="H52" s="21"/>
      <c r="I52" s="21"/>
    </row>
    <row r="53" spans="1:9" ht="15" customHeight="1" x14ac:dyDescent="0.25">
      <c r="A53" s="87"/>
      <c r="B53" s="87"/>
      <c r="C53" s="87"/>
      <c r="D53" s="53"/>
      <c r="E53" s="84"/>
      <c r="F53" s="103"/>
      <c r="G53" s="24"/>
      <c r="H53" s="21"/>
      <c r="I53" s="21"/>
    </row>
    <row r="54" spans="1:9" ht="15" customHeight="1" x14ac:dyDescent="0.25">
      <c r="A54" s="87"/>
      <c r="B54" s="87"/>
      <c r="C54" s="87"/>
      <c r="D54" s="53"/>
      <c r="E54" s="84"/>
      <c r="F54" s="103"/>
      <c r="G54" s="24"/>
      <c r="H54" s="21"/>
      <c r="I54" s="21"/>
    </row>
    <row r="55" spans="1:9" ht="15" customHeight="1" x14ac:dyDescent="0.25">
      <c r="A55" s="87"/>
      <c r="B55" s="87"/>
      <c r="C55" s="87"/>
      <c r="D55" s="53"/>
      <c r="E55" s="84"/>
      <c r="F55" s="103"/>
      <c r="G55" s="24"/>
      <c r="H55" s="21"/>
      <c r="I55" s="21"/>
    </row>
    <row r="56" spans="1:9" ht="15" customHeight="1" x14ac:dyDescent="0.25">
      <c r="A56" s="87"/>
      <c r="B56" s="87"/>
      <c r="C56" s="87"/>
      <c r="D56" s="53"/>
      <c r="E56" s="84"/>
      <c r="F56" s="103"/>
      <c r="G56" s="24"/>
      <c r="H56" s="21"/>
      <c r="I56" s="21"/>
    </row>
    <row r="57" spans="1:9" ht="15" customHeight="1" x14ac:dyDescent="0.25">
      <c r="A57" s="87"/>
      <c r="B57" s="87"/>
      <c r="C57" s="87"/>
      <c r="D57" s="53"/>
      <c r="E57" s="84"/>
      <c r="F57" s="103"/>
      <c r="G57" s="24"/>
      <c r="H57" s="21"/>
      <c r="I57" s="21"/>
    </row>
    <row r="58" spans="1:9" ht="15" customHeight="1" x14ac:dyDescent="0.25">
      <c r="A58" s="87"/>
      <c r="B58" s="87"/>
      <c r="C58" s="87"/>
      <c r="D58" s="53"/>
      <c r="E58" s="84"/>
      <c r="F58" s="103"/>
      <c r="G58" s="24"/>
      <c r="H58" s="21"/>
      <c r="I58" s="21"/>
    </row>
    <row r="59" spans="1:9" ht="15" customHeight="1" x14ac:dyDescent="0.25">
      <c r="A59" s="87"/>
      <c r="B59" s="87"/>
      <c r="C59" s="87"/>
      <c r="D59" s="53"/>
      <c r="E59" s="84"/>
      <c r="F59" s="103"/>
      <c r="G59" s="24"/>
      <c r="H59" s="21"/>
      <c r="I59" s="21"/>
    </row>
    <row r="60" spans="1:9" ht="15" customHeight="1" x14ac:dyDescent="0.25">
      <c r="A60" s="87"/>
      <c r="B60" s="87"/>
      <c r="C60" s="87"/>
      <c r="D60" s="53"/>
      <c r="E60" s="84"/>
      <c r="F60" s="103"/>
      <c r="G60" s="24"/>
      <c r="H60" s="21"/>
      <c r="I60" s="21"/>
    </row>
    <row r="61" spans="1:9" ht="15" customHeight="1" x14ac:dyDescent="0.25">
      <c r="A61" s="87"/>
      <c r="B61" s="87"/>
      <c r="C61" s="87"/>
      <c r="D61" s="53"/>
      <c r="E61" s="84"/>
      <c r="F61" s="103"/>
      <c r="G61" s="24"/>
      <c r="H61" s="21"/>
      <c r="I61" s="21"/>
    </row>
    <row r="62" spans="1:9" ht="15" customHeight="1" x14ac:dyDescent="0.25">
      <c r="A62" s="87"/>
      <c r="B62" s="87"/>
      <c r="C62" s="87"/>
      <c r="D62" s="53"/>
      <c r="E62" s="84"/>
      <c r="F62" s="103"/>
      <c r="G62" s="24"/>
      <c r="H62" s="21"/>
      <c r="I62" s="21"/>
    </row>
    <row r="63" spans="1:9" ht="15" customHeight="1" x14ac:dyDescent="0.25">
      <c r="A63" s="87"/>
      <c r="B63" s="87"/>
      <c r="C63" s="87"/>
      <c r="D63" s="53"/>
      <c r="E63" s="84"/>
      <c r="F63" s="103"/>
      <c r="G63" s="24"/>
      <c r="H63" s="21"/>
      <c r="I63" s="21"/>
    </row>
    <row r="64" spans="1:9" ht="15" customHeight="1" x14ac:dyDescent="0.25">
      <c r="A64" s="87"/>
      <c r="B64" s="87"/>
      <c r="C64" s="87"/>
      <c r="D64" s="53"/>
      <c r="E64" s="84"/>
      <c r="F64" s="103"/>
      <c r="G64" s="24"/>
      <c r="H64" s="21"/>
      <c r="I64" s="21"/>
    </row>
    <row r="65" spans="1:9" ht="15" customHeight="1" x14ac:dyDescent="0.25">
      <c r="A65" s="87"/>
      <c r="B65" s="87"/>
      <c r="C65" s="87"/>
      <c r="D65" s="53"/>
      <c r="E65" s="84"/>
      <c r="F65" s="103"/>
      <c r="G65" s="24"/>
      <c r="H65" s="21"/>
      <c r="I65" s="21"/>
    </row>
    <row r="66" spans="1:9" ht="15" customHeight="1" x14ac:dyDescent="0.25">
      <c r="A66" s="87"/>
      <c r="B66" s="87"/>
      <c r="C66" s="87"/>
      <c r="D66" s="53"/>
      <c r="E66" s="84"/>
      <c r="F66" s="103"/>
      <c r="G66" s="24"/>
      <c r="H66" s="21"/>
      <c r="I66" s="21"/>
    </row>
    <row r="67" spans="1:9" ht="15" customHeight="1" x14ac:dyDescent="0.25">
      <c r="A67" s="87"/>
      <c r="B67" s="87"/>
      <c r="C67" s="87"/>
      <c r="D67" s="53"/>
      <c r="E67" s="84"/>
      <c r="F67" s="103"/>
      <c r="G67" s="24"/>
      <c r="H67" s="21"/>
      <c r="I67" s="21"/>
    </row>
    <row r="68" spans="1:9" ht="15" customHeight="1" x14ac:dyDescent="0.25">
      <c r="A68" s="87"/>
      <c r="B68" s="87"/>
      <c r="C68" s="87"/>
      <c r="D68" s="53"/>
      <c r="E68" s="84"/>
      <c r="F68" s="103"/>
      <c r="G68" s="24"/>
      <c r="H68" s="21"/>
      <c r="I68" s="21"/>
    </row>
    <row r="69" spans="1:9" ht="15" customHeight="1" x14ac:dyDescent="0.25">
      <c r="A69" s="87"/>
      <c r="B69" s="87"/>
      <c r="C69" s="87"/>
      <c r="D69" s="53"/>
      <c r="E69" s="84"/>
      <c r="F69" s="103"/>
      <c r="G69" s="24"/>
      <c r="H69" s="21"/>
      <c r="I69" s="21"/>
    </row>
    <row r="70" spans="1:9" ht="15" customHeight="1" x14ac:dyDescent="0.25">
      <c r="A70" s="87"/>
      <c r="B70" s="87"/>
      <c r="C70" s="87"/>
      <c r="D70" s="53"/>
      <c r="E70" s="84"/>
      <c r="F70" s="103"/>
      <c r="G70" s="24"/>
      <c r="H70" s="21"/>
      <c r="I70" s="21"/>
    </row>
    <row r="71" spans="1:9" ht="15" customHeight="1" x14ac:dyDescent="0.25">
      <c r="A71" s="87"/>
      <c r="B71" s="87"/>
      <c r="C71" s="87"/>
      <c r="D71" s="53"/>
      <c r="E71" s="84"/>
      <c r="F71" s="103"/>
      <c r="G71" s="24"/>
      <c r="H71" s="21"/>
      <c r="I71" s="21"/>
    </row>
    <row r="72" spans="1:9" ht="15" customHeight="1" x14ac:dyDescent="0.25">
      <c r="A72" s="87"/>
      <c r="B72" s="87"/>
      <c r="C72" s="87"/>
      <c r="D72" s="53"/>
      <c r="E72" s="84"/>
      <c r="F72" s="103"/>
      <c r="G72" s="24"/>
      <c r="H72" s="21"/>
      <c r="I72" s="21"/>
    </row>
    <row r="73" spans="1:9" ht="15" customHeight="1" x14ac:dyDescent="0.25">
      <c r="A73" s="87"/>
      <c r="B73" s="87"/>
      <c r="C73" s="87"/>
      <c r="D73" s="53"/>
      <c r="E73" s="84"/>
      <c r="F73" s="103"/>
      <c r="G73" s="24"/>
      <c r="H73" s="21"/>
      <c r="I73" s="21"/>
    </row>
    <row r="74" spans="1:9" ht="15" customHeight="1" x14ac:dyDescent="0.25">
      <c r="A74" s="87"/>
      <c r="B74" s="87"/>
      <c r="C74" s="87"/>
      <c r="D74" s="53"/>
      <c r="E74" s="84"/>
      <c r="F74" s="103"/>
      <c r="G74" s="24"/>
      <c r="H74" s="21"/>
      <c r="I74" s="21"/>
    </row>
    <row r="75" spans="1:9" ht="15" customHeight="1" x14ac:dyDescent="0.25">
      <c r="A75" s="87"/>
      <c r="B75" s="87"/>
      <c r="C75" s="87"/>
      <c r="D75" s="53"/>
      <c r="E75" s="84"/>
      <c r="F75" s="103"/>
      <c r="G75" s="24"/>
      <c r="H75" s="21"/>
      <c r="I75" s="21"/>
    </row>
    <row r="76" spans="1:9" ht="15" customHeight="1" x14ac:dyDescent="0.25">
      <c r="A76" s="87"/>
      <c r="B76" s="87"/>
      <c r="C76" s="87"/>
      <c r="D76" s="53"/>
      <c r="E76" s="84"/>
      <c r="F76" s="103"/>
      <c r="G76" s="24"/>
      <c r="H76" s="21"/>
      <c r="I76" s="21"/>
    </row>
    <row r="77" spans="1:9" ht="15" customHeight="1" x14ac:dyDescent="0.25">
      <c r="A77" s="87"/>
      <c r="B77" s="87"/>
      <c r="C77" s="87"/>
      <c r="D77" s="53"/>
      <c r="E77" s="84"/>
      <c r="F77" s="103"/>
      <c r="G77" s="24"/>
      <c r="H77" s="21"/>
      <c r="I77" s="21"/>
    </row>
    <row r="78" spans="1:9" ht="15" customHeight="1" x14ac:dyDescent="0.25">
      <c r="A78" s="87"/>
      <c r="B78" s="87"/>
      <c r="C78" s="87"/>
      <c r="D78" s="53"/>
      <c r="E78" s="84"/>
      <c r="F78" s="103"/>
      <c r="G78" s="24"/>
      <c r="H78" s="21"/>
      <c r="I78" s="21"/>
    </row>
    <row r="79" spans="1:9" ht="15" customHeight="1" x14ac:dyDescent="0.25">
      <c r="A79" s="87"/>
      <c r="B79" s="87"/>
      <c r="C79" s="87"/>
      <c r="D79" s="53"/>
      <c r="E79" s="84"/>
      <c r="F79" s="103"/>
      <c r="G79" s="24"/>
      <c r="H79" s="21"/>
      <c r="I79" s="21"/>
    </row>
    <row r="80" spans="1:9" ht="15" customHeight="1" x14ac:dyDescent="0.25">
      <c r="A80" s="87"/>
      <c r="B80" s="87"/>
      <c r="C80" s="87"/>
      <c r="D80" s="53"/>
      <c r="E80" s="84"/>
      <c r="F80" s="103"/>
      <c r="G80" s="24"/>
      <c r="H80" s="21"/>
      <c r="I80" s="21"/>
    </row>
    <row r="81" spans="1:9" ht="15" customHeight="1" x14ac:dyDescent="0.25">
      <c r="A81" s="87"/>
      <c r="B81" s="87"/>
      <c r="C81" s="87"/>
      <c r="D81" s="53"/>
      <c r="E81" s="84"/>
      <c r="F81" s="103"/>
      <c r="G81" s="24"/>
      <c r="H81" s="21"/>
      <c r="I81" s="21"/>
    </row>
    <row r="82" spans="1:9" ht="15" customHeight="1" x14ac:dyDescent="0.25">
      <c r="A82" s="87"/>
      <c r="B82" s="87"/>
      <c r="C82" s="87"/>
      <c r="D82" s="53"/>
      <c r="E82" s="84"/>
      <c r="F82" s="103"/>
      <c r="G82" s="24"/>
      <c r="H82" s="21"/>
      <c r="I82" s="21"/>
    </row>
    <row r="83" spans="1:9" ht="15" customHeight="1" x14ac:dyDescent="0.25">
      <c r="A83" s="87"/>
      <c r="B83" s="87"/>
      <c r="C83" s="87"/>
      <c r="D83" s="53"/>
      <c r="E83" s="84"/>
      <c r="F83" s="103"/>
      <c r="G83" s="24"/>
      <c r="H83" s="21"/>
      <c r="I83" s="21"/>
    </row>
    <row r="84" spans="1:9" ht="15" customHeight="1" x14ac:dyDescent="0.25">
      <c r="A84" s="87"/>
      <c r="B84" s="87"/>
      <c r="C84" s="87"/>
      <c r="D84" s="53"/>
      <c r="E84" s="84"/>
      <c r="F84" s="103"/>
      <c r="G84" s="24"/>
      <c r="H84" s="21"/>
      <c r="I84" s="21"/>
    </row>
    <row r="85" spans="1:9" ht="15" customHeight="1" x14ac:dyDescent="0.25">
      <c r="A85" s="87"/>
      <c r="B85" s="87"/>
      <c r="C85" s="87"/>
      <c r="D85" s="53"/>
      <c r="E85" s="84"/>
      <c r="F85" s="103"/>
      <c r="G85" s="24"/>
      <c r="H85" s="21"/>
      <c r="I85" s="21"/>
    </row>
    <row r="86" spans="1:9" ht="15" customHeight="1" x14ac:dyDescent="0.25">
      <c r="A86" s="87"/>
      <c r="B86" s="87"/>
      <c r="C86" s="87"/>
      <c r="D86" s="53"/>
      <c r="E86" s="84"/>
      <c r="F86" s="103"/>
      <c r="G86" s="24"/>
      <c r="H86" s="21"/>
      <c r="I86" s="21"/>
    </row>
    <row r="87" spans="1:9" ht="15" customHeight="1" x14ac:dyDescent="0.25">
      <c r="A87" s="87"/>
      <c r="B87" s="87"/>
      <c r="C87" s="87"/>
      <c r="D87" s="53"/>
      <c r="E87" s="84"/>
      <c r="F87" s="103"/>
      <c r="G87" s="24"/>
      <c r="H87" s="21"/>
      <c r="I87" s="21"/>
    </row>
    <row r="88" spans="1:9" ht="15" customHeight="1" x14ac:dyDescent="0.25">
      <c r="A88" s="87"/>
      <c r="B88" s="87"/>
      <c r="C88" s="87"/>
      <c r="D88" s="53"/>
      <c r="E88" s="84"/>
      <c r="F88" s="103"/>
      <c r="G88" s="24"/>
      <c r="H88" s="21"/>
      <c r="I88" s="21"/>
    </row>
    <row r="89" spans="1:9" ht="15" customHeight="1" x14ac:dyDescent="0.25">
      <c r="A89" s="87"/>
      <c r="B89" s="87"/>
      <c r="C89" s="87"/>
      <c r="D89" s="53"/>
      <c r="E89" s="84"/>
      <c r="F89" s="103"/>
      <c r="G89" s="24"/>
      <c r="H89" s="21"/>
      <c r="I89" s="21"/>
    </row>
    <row r="90" spans="1:9" ht="15" customHeight="1" x14ac:dyDescent="0.25">
      <c r="A90" s="87"/>
      <c r="B90" s="87"/>
      <c r="C90" s="87"/>
      <c r="D90" s="53"/>
      <c r="E90" s="84"/>
      <c r="F90" s="103"/>
      <c r="G90" s="24"/>
      <c r="H90" s="21"/>
      <c r="I90" s="21"/>
    </row>
    <row r="91" spans="1:9" ht="15" customHeight="1" x14ac:dyDescent="0.25">
      <c r="A91" s="87"/>
      <c r="B91" s="87"/>
      <c r="C91" s="87"/>
      <c r="D91" s="53"/>
      <c r="E91" s="84"/>
      <c r="F91" s="103"/>
      <c r="G91" s="24"/>
      <c r="H91" s="21"/>
      <c r="I91" s="21"/>
    </row>
    <row r="92" spans="1:9" ht="15" customHeight="1" x14ac:dyDescent="0.25">
      <c r="A92" s="87"/>
      <c r="B92" s="87"/>
      <c r="C92" s="87"/>
      <c r="D92" s="53"/>
      <c r="E92" s="84"/>
      <c r="F92" s="103"/>
      <c r="G92" s="24"/>
      <c r="H92" s="21"/>
      <c r="I92" s="21"/>
    </row>
    <row r="93" spans="1:9" ht="15" customHeight="1" x14ac:dyDescent="0.25">
      <c r="A93" s="87"/>
      <c r="B93" s="87"/>
      <c r="C93" s="87"/>
      <c r="D93" s="53"/>
      <c r="E93" s="84"/>
      <c r="F93" s="103"/>
      <c r="G93" s="24"/>
      <c r="H93" s="21"/>
      <c r="I93" s="21"/>
    </row>
    <row r="94" spans="1:9" ht="15" customHeight="1" x14ac:dyDescent="0.25">
      <c r="A94" s="87"/>
      <c r="B94" s="87"/>
      <c r="C94" s="87"/>
      <c r="D94" s="53"/>
      <c r="E94" s="84"/>
      <c r="F94" s="103"/>
      <c r="G94" s="24"/>
      <c r="H94" s="21"/>
      <c r="I94" s="21"/>
    </row>
    <row r="95" spans="1:9" ht="15" customHeight="1" x14ac:dyDescent="0.25">
      <c r="A95" s="87"/>
      <c r="B95" s="87"/>
      <c r="C95" s="87"/>
      <c r="D95" s="53"/>
      <c r="E95" s="84"/>
      <c r="F95" s="103"/>
      <c r="G95" s="24"/>
      <c r="H95" s="21"/>
      <c r="I95" s="21"/>
    </row>
    <row r="96" spans="1:9" ht="15" customHeight="1" x14ac:dyDescent="0.25">
      <c r="A96" s="87"/>
      <c r="B96" s="87"/>
      <c r="C96" s="87"/>
      <c r="D96" s="53"/>
      <c r="E96" s="84"/>
      <c r="F96" s="103"/>
      <c r="G96" s="24"/>
      <c r="H96" s="21"/>
      <c r="I96" s="21"/>
    </row>
    <row r="97" spans="1:9" ht="15" customHeight="1" x14ac:dyDescent="0.25">
      <c r="A97" s="87"/>
      <c r="B97" s="87"/>
      <c r="C97" s="87"/>
      <c r="D97" s="53"/>
      <c r="E97" s="84"/>
      <c r="F97" s="103"/>
      <c r="G97" s="24"/>
      <c r="H97" s="21"/>
      <c r="I97" s="21"/>
    </row>
    <row r="98" spans="1:9" ht="15" customHeight="1" x14ac:dyDescent="0.25">
      <c r="A98" s="87"/>
      <c r="B98" s="87"/>
      <c r="C98" s="87"/>
      <c r="D98" s="53"/>
      <c r="E98" s="84"/>
      <c r="F98" s="103"/>
      <c r="G98" s="24"/>
      <c r="H98" s="21"/>
      <c r="I98" s="21"/>
    </row>
    <row r="99" spans="1:9" ht="15" customHeight="1" x14ac:dyDescent="0.25">
      <c r="A99" s="87"/>
      <c r="B99" s="87"/>
      <c r="C99" s="87"/>
      <c r="D99" s="53"/>
      <c r="E99" s="84"/>
      <c r="F99" s="103"/>
      <c r="G99" s="24"/>
      <c r="H99" s="21"/>
      <c r="I99" s="21"/>
    </row>
    <row r="100" spans="1:9" ht="15" customHeight="1" x14ac:dyDescent="0.25">
      <c r="A100" s="87"/>
      <c r="B100" s="87"/>
      <c r="C100" s="87"/>
      <c r="D100" s="53"/>
      <c r="E100" s="84"/>
      <c r="F100" s="103"/>
      <c r="G100" s="24"/>
      <c r="H100" s="21"/>
      <c r="I100" s="21"/>
    </row>
    <row r="101" spans="1:9" ht="15" customHeight="1" x14ac:dyDescent="0.25">
      <c r="G101" s="24"/>
      <c r="H101" s="21"/>
    </row>
    <row r="102" spans="1:9" ht="15" customHeight="1" x14ac:dyDescent="0.25">
      <c r="G102" s="24"/>
      <c r="H102" s="21"/>
    </row>
    <row r="103" spans="1:9" ht="15" customHeight="1" x14ac:dyDescent="0.25">
      <c r="G103" s="24"/>
      <c r="H103" s="21"/>
    </row>
    <row r="104" spans="1:9" ht="15" customHeight="1" x14ac:dyDescent="0.25">
      <c r="G104" s="24"/>
      <c r="H104" s="21"/>
    </row>
    <row r="105" spans="1:9" ht="15" customHeight="1" x14ac:dyDescent="0.25">
      <c r="G105" s="24"/>
      <c r="H105" s="21"/>
    </row>
    <row r="106" spans="1:9" ht="15" customHeight="1" x14ac:dyDescent="0.25">
      <c r="G106" s="24"/>
      <c r="H106" s="21"/>
    </row>
    <row r="107" spans="1:9" ht="15" customHeight="1" x14ac:dyDescent="0.25">
      <c r="G107" s="24"/>
      <c r="H107" s="21"/>
    </row>
    <row r="108" spans="1:9" ht="15" customHeight="1" x14ac:dyDescent="0.25">
      <c r="G108" s="24"/>
      <c r="H108" s="21"/>
    </row>
    <row r="109" spans="1:9" ht="15" customHeight="1" x14ac:dyDescent="0.25">
      <c r="G109" s="24"/>
      <c r="H109" s="21"/>
    </row>
    <row r="110" spans="1:9" ht="15" customHeight="1" x14ac:dyDescent="0.25">
      <c r="G110" s="24"/>
      <c r="H110" s="21"/>
    </row>
    <row r="111" spans="1:9" ht="15" customHeight="1" x14ac:dyDescent="0.25">
      <c r="H111" s="29"/>
    </row>
    <row r="112" spans="1:9" ht="15" customHeight="1" x14ac:dyDescent="0.25">
      <c r="H112" s="29"/>
    </row>
    <row r="113" spans="8:8" ht="15" customHeight="1" x14ac:dyDescent="0.25">
      <c r="H113" s="29"/>
    </row>
    <row r="114" spans="8:8" ht="15" customHeight="1" x14ac:dyDescent="0.25">
      <c r="H114" s="29"/>
    </row>
    <row r="115" spans="8:8" ht="15" customHeight="1" x14ac:dyDescent="0.25">
      <c r="H115" s="29"/>
    </row>
    <row r="116" spans="8:8" ht="15" customHeight="1" x14ac:dyDescent="0.25">
      <c r="H116" s="29"/>
    </row>
    <row r="117" spans="8:8" ht="15" customHeight="1" x14ac:dyDescent="0.25">
      <c r="H117" s="29"/>
    </row>
    <row r="118" spans="8:8" ht="15" customHeight="1" x14ac:dyDescent="0.25">
      <c r="H118" s="29"/>
    </row>
    <row r="119" spans="8:8" ht="15" customHeight="1" x14ac:dyDescent="0.25">
      <c r="H119" s="29"/>
    </row>
    <row r="120" spans="8:8" ht="15" customHeight="1" x14ac:dyDescent="0.25">
      <c r="H120" s="29"/>
    </row>
  </sheetData>
  <mergeCells count="9">
    <mergeCell ref="A1:XFD1"/>
    <mergeCell ref="A6:B6"/>
    <mergeCell ref="C6:F6"/>
    <mergeCell ref="A3:B3"/>
    <mergeCell ref="C3:F3"/>
    <mergeCell ref="A4:B4"/>
    <mergeCell ref="C4:F4"/>
    <mergeCell ref="A5:B5"/>
    <mergeCell ref="C5:F5"/>
  </mergeCells>
  <conditionalFormatting sqref="C3">
    <cfRule type="containsBlanks" dxfId="10" priority="2">
      <formula>LEN(TRIM(C3))=0</formula>
    </cfRule>
  </conditionalFormatting>
  <conditionalFormatting sqref="A9:D108 F9:I108">
    <cfRule type="expression" dxfId="9" priority="1">
      <formula>AND(COUNTA($A9:$M9)&gt;0,ISBLANK(A9))</formula>
    </cfRule>
  </conditionalFormatting>
  <dataValidations count="10">
    <dataValidation type="list" showErrorMessage="1" sqref="C3" xr:uid="{144DBA34-796B-4AE2-87D5-F6CA3051970E}">
      <formula1>GeneralCondition</formula1>
    </dataValidation>
    <dataValidation type="list" allowBlank="1" showErrorMessage="1" sqref="C4" xr:uid="{66DC7134-F22A-4050-A3C4-42DC6F703D63}">
      <formula1>Prioritization</formula1>
    </dataValidation>
    <dataValidation type="textLength" operator="lessThanOrEqual" allowBlank="1" showInputMessage="1" showErrorMessage="1" prompt="Max. 1000 Zeichen." sqref="C5" xr:uid="{1B3159F1-765E-47DC-A874-C29BE2EB317F}">
      <formula1>1000</formula1>
    </dataValidation>
    <dataValidation type="textLength" operator="lessThanOrEqual" allowBlank="1" showInputMessage="1" showErrorMessage="1" prompt="Max. 1000 Zeichen." sqref="C6" xr:uid="{B242C44A-D1A4-4BEF-9C27-C526B0DB1F31}">
      <formula1>1000</formula1>
    </dataValidation>
    <dataValidation type="list" showInputMessage="1" prompt="Max. 5 Zeichen." sqref="A9:A108" xr:uid="{9B097CB7-46EC-4D1B-98BE-7F9014B1D1ED}">
      <formula1>WS16ExpertCodes</formula1>
    </dataValidation>
    <dataValidation type="list" showErrorMessage="1" sqref="B9:B108" xr:uid="{47C9C284-F914-4B76-B472-19F874EC1DBC}">
      <formula1>ElectricityProducerType</formula1>
    </dataValidation>
    <dataValidation type="list" showInputMessage="1" showErrorMessage="1" prompt="Max. 5 Zeichen." sqref="C9:C108" xr:uid="{FE9FE878-4984-4369-B994-39AA8244BF97}">
      <formula1>HeatProducerExpertCodes</formula1>
    </dataValidation>
    <dataValidation type="list" showErrorMessage="1" sqref="I9:I108" xr:uid="{65BE9D4D-4925-43E3-869E-B2D193DF303A}">
      <formula1>Boolean</formula1>
    </dataValidation>
    <dataValidation type="list" showErrorMessage="1" sqref="L9:L108" xr:uid="{D2A2D3D9-88CF-409A-A166-48892A970038}">
      <formula1>CalculationBase_OnlyLump</formula1>
    </dataValidation>
    <dataValidation type="textLength" operator="lessThanOrEqual" allowBlank="1" showInputMessage="1" showErrorMessage="1" prompt="Max. 250 Zeichen." sqref="D9:D109" xr:uid="{A2035533-3321-4DFC-AFE7-3C29065BAE32}">
      <formula1>250</formula1>
    </dataValidation>
  </dataValidations>
  <pageMargins left="0.7" right="0.7" top="0.75" bottom="0.75" header="0.3" footer="0.3"/>
  <pageSetup paperSize="9" orientation="portrait" verticalDpi="3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9FC9-E49B-4969-8923-E7CF58328F47}">
  <dimension ref="A1:W135"/>
  <sheetViews>
    <sheetView zoomScaleNormal="100" workbookViewId="0"/>
  </sheetViews>
  <sheetFormatPr defaultColWidth="9.1796875" defaultRowHeight="15" customHeight="1" x14ac:dyDescent="0.25"/>
  <cols>
    <col min="1" max="1" width="8.26953125" style="86" customWidth="1"/>
    <col min="2" max="2" width="12.453125" style="1" customWidth="1"/>
    <col min="3" max="3" width="29.54296875" style="1" customWidth="1"/>
    <col min="4" max="4" width="31.7265625" style="1" customWidth="1"/>
    <col min="5" max="5" width="23.453125" style="1" customWidth="1"/>
    <col min="6" max="6" width="25.54296875" style="1" customWidth="1"/>
    <col min="7" max="7" width="22.26953125" style="1" customWidth="1"/>
    <col min="8" max="8" width="20.453125" style="1" customWidth="1"/>
    <col min="9" max="9" width="16.7265625" style="1" bestFit="1" customWidth="1"/>
    <col min="10" max="10" width="23" style="1" customWidth="1"/>
    <col min="11" max="11" width="16.7265625" style="1" bestFit="1" customWidth="1"/>
    <col min="12" max="12" width="16.1796875" style="1" bestFit="1" customWidth="1"/>
    <col min="13" max="13" width="22.1796875" style="1" customWidth="1"/>
    <col min="14" max="14" width="16.1796875" style="1" bestFit="1" customWidth="1"/>
    <col min="15" max="15" width="6.26953125" style="1" bestFit="1" customWidth="1"/>
    <col min="16" max="16" width="23.54296875" style="1" bestFit="1" customWidth="1"/>
    <col min="17" max="17" width="9.7265625" style="1" bestFit="1" customWidth="1"/>
    <col min="18" max="18" width="10" style="1" bestFit="1" customWidth="1"/>
    <col min="19" max="19" width="11.26953125" style="1" bestFit="1" customWidth="1"/>
    <col min="20" max="20" width="10.54296875" style="1" bestFit="1" customWidth="1"/>
    <col min="21" max="21" width="18.26953125" style="1" bestFit="1" customWidth="1"/>
    <col min="22" max="22" width="34.1796875" style="1" bestFit="1" customWidth="1"/>
    <col min="23" max="16384" width="9.1796875" style="1"/>
  </cols>
  <sheetData>
    <row r="1" spans="1:23" s="198" customFormat="1" ht="15" customHeight="1" thickBot="1" x14ac:dyDescent="0.3">
      <c r="A1" s="178" t="s">
        <v>195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</row>
    <row r="2" spans="1:23" ht="40.5" customHeight="1" x14ac:dyDescent="0.25"/>
    <row r="3" spans="1:23" s="34" customFormat="1" ht="30" customHeight="1" x14ac:dyDescent="0.25">
      <c r="A3" s="164" t="s">
        <v>342</v>
      </c>
      <c r="B3" s="183"/>
      <c r="C3" s="166"/>
      <c r="D3" s="166"/>
      <c r="E3" s="166"/>
      <c r="F3" s="166"/>
    </row>
    <row r="4" spans="1:23" ht="15" customHeight="1" x14ac:dyDescent="0.25">
      <c r="A4" s="157" t="s">
        <v>193</v>
      </c>
      <c r="B4" s="217"/>
      <c r="C4" s="166"/>
      <c r="D4" s="166"/>
      <c r="E4" s="166"/>
      <c r="F4" s="166"/>
      <c r="G4" s="21"/>
      <c r="H4" s="30"/>
      <c r="I4" s="21"/>
    </row>
    <row r="5" spans="1:23" ht="62.25" customHeight="1" x14ac:dyDescent="0.25">
      <c r="A5" s="170" t="s">
        <v>18</v>
      </c>
      <c r="B5" s="176"/>
      <c r="C5" s="166"/>
      <c r="D5" s="166"/>
      <c r="E5" s="166"/>
      <c r="F5" s="166"/>
      <c r="G5" s="21"/>
      <c r="H5" s="30"/>
      <c r="I5" s="21"/>
    </row>
    <row r="6" spans="1:23" ht="62.25" customHeight="1" x14ac:dyDescent="0.25">
      <c r="A6" s="170" t="s">
        <v>91</v>
      </c>
      <c r="B6" s="176"/>
      <c r="C6" s="166"/>
      <c r="D6" s="166"/>
      <c r="E6" s="166"/>
      <c r="F6" s="166"/>
      <c r="G6" s="21"/>
      <c r="H6" s="30"/>
      <c r="I6" s="2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5" customHeight="1" x14ac:dyDescent="0.25">
      <c r="A7" s="87"/>
      <c r="B7" s="87"/>
      <c r="C7" s="87"/>
      <c r="D7" s="53"/>
      <c r="E7" s="84"/>
      <c r="F7" s="53"/>
      <c r="G7" s="21"/>
      <c r="H7" s="30"/>
      <c r="I7" s="2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s="220" customFormat="1" ht="15" customHeight="1" x14ac:dyDescent="0.25">
      <c r="A8" s="218" t="s">
        <v>57</v>
      </c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</row>
    <row r="9" spans="1:23" ht="15" customHeight="1" x14ac:dyDescent="0.25">
      <c r="A9" s="95"/>
      <c r="B9" s="95"/>
      <c r="C9" s="95"/>
      <c r="D9" s="94"/>
      <c r="E9" s="84"/>
      <c r="F9" s="94"/>
      <c r="G9" s="21"/>
      <c r="H9" s="30"/>
      <c r="I9" s="2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34.5" customHeight="1" x14ac:dyDescent="0.35">
      <c r="A10" s="98" t="s">
        <v>16</v>
      </c>
      <c r="B10" s="99" t="s">
        <v>206</v>
      </c>
      <c r="C10" s="97" t="s">
        <v>27</v>
      </c>
      <c r="D10" s="97" t="s">
        <v>207</v>
      </c>
      <c r="E10" s="99" t="s">
        <v>208</v>
      </c>
      <c r="F10" s="99" t="s">
        <v>201</v>
      </c>
      <c r="G10" s="99" t="s">
        <v>204</v>
      </c>
      <c r="H10" s="99" t="s">
        <v>205</v>
      </c>
      <c r="I10" s="96" t="s">
        <v>196</v>
      </c>
      <c r="J10" s="96" t="s">
        <v>197</v>
      </c>
      <c r="L10" s="6"/>
      <c r="M10" s="6"/>
      <c r="N10" s="93"/>
      <c r="O10" s="93"/>
      <c r="P10" s="93"/>
      <c r="Q10" s="93"/>
      <c r="R10" s="93"/>
      <c r="S10" s="93"/>
      <c r="T10" s="93"/>
      <c r="U10" s="93"/>
      <c r="V10" s="93"/>
      <c r="W10" s="93"/>
    </row>
    <row r="11" spans="1:23" ht="15" customHeight="1" x14ac:dyDescent="0.25">
      <c r="A11" s="102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23" ht="15" customHeight="1" x14ac:dyDescent="0.25">
      <c r="A12" s="100"/>
      <c r="B12" s="100"/>
      <c r="C12" s="100"/>
      <c r="D12" s="94"/>
      <c r="E12" s="29"/>
      <c r="F12" s="94"/>
      <c r="G12" s="29"/>
      <c r="H12" s="29"/>
      <c r="I12" s="29"/>
      <c r="J12" s="29"/>
      <c r="K12" s="29"/>
    </row>
    <row r="13" spans="1:23" ht="15" customHeight="1" x14ac:dyDescent="0.25">
      <c r="A13" s="100"/>
      <c r="B13" s="100"/>
      <c r="C13" s="100"/>
      <c r="D13" s="94"/>
      <c r="E13" s="29"/>
      <c r="F13" s="94"/>
      <c r="G13" s="29"/>
      <c r="H13" s="29"/>
      <c r="I13" s="29"/>
      <c r="J13" s="29"/>
      <c r="K13" s="29"/>
    </row>
    <row r="14" spans="1:23" ht="15" customHeight="1" x14ac:dyDescent="0.25">
      <c r="A14" s="102"/>
      <c r="B14" s="100"/>
      <c r="C14" s="100"/>
      <c r="D14" s="94"/>
      <c r="E14" s="29"/>
      <c r="F14" s="94"/>
      <c r="G14" s="29"/>
      <c r="H14" s="29"/>
      <c r="I14" s="29"/>
      <c r="J14" s="29"/>
      <c r="K14" s="29"/>
    </row>
    <row r="15" spans="1:23" ht="15" customHeight="1" x14ac:dyDescent="0.25">
      <c r="A15" s="95"/>
      <c r="B15" s="95"/>
      <c r="C15" s="95"/>
      <c r="D15" s="94"/>
      <c r="E15" s="84"/>
      <c r="F15" s="94"/>
      <c r="G15" s="21"/>
      <c r="H15" s="30"/>
      <c r="I15" s="21"/>
    </row>
    <row r="16" spans="1:23" s="219" customFormat="1" ht="15" customHeight="1" x14ac:dyDescent="0.25">
      <c r="A16" s="221" t="s">
        <v>90</v>
      </c>
    </row>
    <row r="17" spans="1:23" ht="15" customHeight="1" x14ac:dyDescent="0.25">
      <c r="A17" s="95"/>
      <c r="B17" s="95"/>
      <c r="C17" s="95"/>
      <c r="D17" s="94"/>
      <c r="E17" s="84"/>
      <c r="F17" s="94"/>
      <c r="G17" s="21"/>
      <c r="H17" s="30"/>
      <c r="I17" s="21"/>
    </row>
    <row r="18" spans="1:23" ht="33" customHeight="1" x14ac:dyDescent="0.35">
      <c r="A18" s="124" t="s">
        <v>16</v>
      </c>
      <c r="B18" s="124" t="s">
        <v>21</v>
      </c>
      <c r="C18" s="124" t="s">
        <v>190</v>
      </c>
      <c r="D18" s="131" t="s">
        <v>27</v>
      </c>
      <c r="E18" s="132" t="s">
        <v>199</v>
      </c>
      <c r="F18" s="131" t="s">
        <v>55</v>
      </c>
      <c r="G18" s="133" t="s">
        <v>200</v>
      </c>
      <c r="H18" s="133" t="s">
        <v>202</v>
      </c>
      <c r="I18" s="119" t="s">
        <v>203</v>
      </c>
      <c r="J18" s="134" t="s">
        <v>201</v>
      </c>
      <c r="K18" s="119" t="s">
        <v>204</v>
      </c>
      <c r="L18" s="119" t="s">
        <v>205</v>
      </c>
      <c r="M18" s="119" t="s">
        <v>196</v>
      </c>
      <c r="N18" s="119" t="s">
        <v>197</v>
      </c>
      <c r="O18" s="92"/>
      <c r="P18" s="92"/>
      <c r="Q18" s="92"/>
      <c r="R18" s="92"/>
      <c r="S18" s="92"/>
      <c r="T18" s="92"/>
      <c r="U18" s="92"/>
      <c r="V18" s="92"/>
      <c r="W18" s="92"/>
    </row>
    <row r="19" spans="1:23" ht="15" customHeight="1" x14ac:dyDescent="0.25">
      <c r="A19" s="100"/>
      <c r="B19" s="94"/>
      <c r="C19" s="94"/>
      <c r="D19" s="94"/>
      <c r="E19" s="101"/>
      <c r="F19" s="94"/>
      <c r="G19" s="101"/>
      <c r="H19" s="101"/>
      <c r="I19" s="101"/>
      <c r="J19" s="101"/>
      <c r="L19" s="101"/>
      <c r="M19" s="101"/>
      <c r="N19" s="29"/>
    </row>
    <row r="20" spans="1:23" ht="15" customHeight="1" x14ac:dyDescent="0.25">
      <c r="A20" s="100"/>
      <c r="B20" s="100"/>
      <c r="C20" s="100"/>
      <c r="D20" s="94"/>
      <c r="E20" s="29"/>
      <c r="F20" s="94"/>
      <c r="G20" s="29"/>
      <c r="H20" s="29"/>
      <c r="I20" s="29"/>
      <c r="J20" s="29"/>
      <c r="K20" s="29"/>
      <c r="L20" s="29"/>
      <c r="M20" s="29"/>
      <c r="N20" s="29"/>
    </row>
    <row r="21" spans="1:23" ht="15" customHeight="1" x14ac:dyDescent="0.25">
      <c r="A21" s="100"/>
      <c r="B21" s="100"/>
      <c r="C21" s="100"/>
      <c r="D21" s="94"/>
      <c r="E21" s="29"/>
      <c r="F21" s="94"/>
      <c r="G21" s="29"/>
      <c r="H21" s="29"/>
      <c r="I21" s="29"/>
      <c r="J21" s="29"/>
      <c r="K21" s="29"/>
      <c r="L21" s="29"/>
      <c r="M21" s="29"/>
      <c r="N21" s="29"/>
    </row>
    <row r="22" spans="1:23" ht="15" customHeight="1" x14ac:dyDescent="0.25">
      <c r="A22" s="100"/>
      <c r="B22" s="100"/>
      <c r="C22" s="100"/>
      <c r="D22" s="94"/>
      <c r="E22" s="29"/>
      <c r="F22" s="94"/>
      <c r="G22" s="29"/>
      <c r="H22" s="29"/>
      <c r="I22" s="29"/>
      <c r="J22" s="29"/>
      <c r="K22" s="29"/>
      <c r="L22" s="29"/>
      <c r="M22" s="29"/>
      <c r="N22" s="29"/>
    </row>
    <row r="23" spans="1:23" ht="15" customHeight="1" x14ac:dyDescent="0.25">
      <c r="A23" s="100"/>
      <c r="B23" s="100"/>
      <c r="C23" s="100"/>
      <c r="D23" s="94"/>
      <c r="E23" s="29"/>
      <c r="F23" s="94"/>
      <c r="G23" s="29"/>
      <c r="H23" s="29"/>
      <c r="I23" s="29"/>
      <c r="J23" s="29"/>
      <c r="K23" s="29"/>
      <c r="L23" s="29"/>
      <c r="M23" s="29"/>
      <c r="N23" s="29"/>
    </row>
    <row r="24" spans="1:23" ht="15" customHeight="1" x14ac:dyDescent="0.25">
      <c r="A24" s="100"/>
      <c r="B24" s="100"/>
      <c r="C24" s="100"/>
      <c r="D24" s="94"/>
      <c r="E24" s="29"/>
      <c r="F24" s="94"/>
      <c r="G24" s="29"/>
      <c r="H24" s="29"/>
      <c r="I24" s="29"/>
      <c r="J24" s="29"/>
      <c r="K24" s="29"/>
      <c r="L24" s="29"/>
      <c r="M24" s="29"/>
      <c r="N24" s="29"/>
    </row>
    <row r="25" spans="1:23" ht="15" customHeight="1" x14ac:dyDescent="0.25">
      <c r="A25" s="100"/>
      <c r="B25" s="100"/>
      <c r="C25" s="100"/>
      <c r="D25" s="94"/>
      <c r="E25" s="29"/>
      <c r="F25" s="94"/>
      <c r="G25" s="29"/>
      <c r="H25" s="29"/>
      <c r="I25" s="29"/>
      <c r="J25" s="29"/>
      <c r="K25" s="29"/>
      <c r="L25" s="29"/>
      <c r="M25" s="29"/>
      <c r="N25" s="29"/>
    </row>
    <row r="26" spans="1:23" ht="15" customHeight="1" x14ac:dyDescent="0.25">
      <c r="A26" s="100"/>
      <c r="B26" s="100"/>
      <c r="C26" s="100"/>
      <c r="D26" s="94"/>
      <c r="E26" s="29"/>
      <c r="F26" s="94"/>
      <c r="G26" s="29"/>
      <c r="H26" s="29"/>
      <c r="I26" s="29"/>
      <c r="J26" s="29"/>
      <c r="K26" s="29"/>
      <c r="L26" s="29"/>
      <c r="M26" s="29"/>
      <c r="N26" s="29"/>
    </row>
    <row r="27" spans="1:23" ht="15" customHeight="1" x14ac:dyDescent="0.25">
      <c r="A27" s="100"/>
      <c r="B27" s="100"/>
      <c r="C27" s="100"/>
      <c r="D27" s="94"/>
      <c r="E27" s="29"/>
      <c r="F27" s="94"/>
      <c r="G27" s="29"/>
      <c r="H27" s="29"/>
      <c r="I27" s="29"/>
      <c r="J27" s="29"/>
      <c r="K27" s="29"/>
      <c r="L27" s="29"/>
      <c r="M27" s="29"/>
      <c r="N27" s="29"/>
    </row>
    <row r="28" spans="1:23" ht="15" customHeight="1" x14ac:dyDescent="0.25">
      <c r="A28" s="100"/>
      <c r="B28" s="100"/>
      <c r="C28" s="100"/>
      <c r="D28" s="94"/>
      <c r="E28" s="29"/>
      <c r="F28" s="94"/>
      <c r="G28" s="29"/>
      <c r="H28" s="29"/>
      <c r="I28" s="29"/>
      <c r="J28" s="29"/>
      <c r="K28" s="29"/>
      <c r="L28" s="29"/>
      <c r="M28" s="29"/>
      <c r="N28" s="29"/>
    </row>
    <row r="29" spans="1:23" ht="15" customHeight="1" x14ac:dyDescent="0.25">
      <c r="A29" s="100"/>
      <c r="B29" s="100"/>
      <c r="C29" s="100"/>
      <c r="D29" s="94"/>
      <c r="E29" s="29"/>
      <c r="F29" s="94"/>
      <c r="G29" s="29"/>
      <c r="H29" s="29"/>
      <c r="I29" s="29"/>
      <c r="J29" s="29"/>
      <c r="K29" s="29"/>
      <c r="L29" s="29"/>
      <c r="M29" s="29"/>
      <c r="N29" s="29"/>
    </row>
    <row r="30" spans="1:23" ht="15" customHeight="1" x14ac:dyDescent="0.25">
      <c r="A30" s="100"/>
      <c r="B30" s="100"/>
      <c r="C30" s="100"/>
      <c r="D30" s="94"/>
      <c r="E30" s="29"/>
      <c r="F30" s="94"/>
      <c r="G30" s="29"/>
      <c r="H30" s="29"/>
      <c r="I30" s="29"/>
      <c r="J30" s="29"/>
      <c r="K30" s="29"/>
      <c r="L30" s="29"/>
      <c r="M30" s="29"/>
      <c r="N30" s="29"/>
    </row>
    <row r="31" spans="1:23" ht="15" customHeight="1" x14ac:dyDescent="0.25">
      <c r="A31" s="100"/>
      <c r="B31" s="100"/>
      <c r="C31" s="100"/>
      <c r="D31" s="94"/>
      <c r="E31" s="29"/>
      <c r="F31" s="94"/>
      <c r="G31" s="29"/>
      <c r="H31" s="29"/>
      <c r="I31" s="29"/>
      <c r="J31" s="29"/>
      <c r="K31" s="29"/>
      <c r="L31" s="29"/>
      <c r="M31" s="29"/>
      <c r="N31" s="29"/>
    </row>
    <row r="32" spans="1:23" ht="15" customHeight="1" x14ac:dyDescent="0.25">
      <c r="A32" s="100"/>
      <c r="B32" s="100"/>
      <c r="C32" s="100"/>
      <c r="D32" s="94"/>
      <c r="E32" s="29"/>
      <c r="F32" s="94"/>
      <c r="G32" s="29"/>
      <c r="H32" s="29"/>
      <c r="I32" s="29"/>
      <c r="J32" s="29"/>
      <c r="K32" s="29"/>
      <c r="L32" s="29"/>
      <c r="M32" s="29"/>
      <c r="N32" s="29"/>
    </row>
    <row r="33" spans="1:14" ht="15" customHeight="1" x14ac:dyDescent="0.25">
      <c r="A33" s="100"/>
      <c r="B33" s="100"/>
      <c r="C33" s="100"/>
      <c r="D33" s="94"/>
      <c r="E33" s="29"/>
      <c r="F33" s="94"/>
      <c r="G33" s="29"/>
      <c r="H33" s="29"/>
      <c r="I33" s="29"/>
      <c r="J33" s="29"/>
      <c r="K33" s="29"/>
      <c r="L33" s="29"/>
      <c r="M33" s="29"/>
      <c r="N33" s="29"/>
    </row>
    <row r="34" spans="1:14" ht="15" customHeight="1" x14ac:dyDescent="0.25">
      <c r="A34" s="100"/>
      <c r="B34" s="100"/>
      <c r="C34" s="100"/>
      <c r="D34" s="94"/>
      <c r="E34" s="29"/>
      <c r="F34" s="94"/>
      <c r="G34" s="29"/>
      <c r="H34" s="29"/>
      <c r="I34" s="29"/>
      <c r="J34" s="29"/>
      <c r="K34" s="29"/>
      <c r="L34" s="29"/>
      <c r="M34" s="29"/>
      <c r="N34" s="29"/>
    </row>
    <row r="35" spans="1:14" ht="15" customHeight="1" x14ac:dyDescent="0.25">
      <c r="A35" s="100"/>
      <c r="B35" s="100"/>
      <c r="C35" s="100"/>
      <c r="D35" s="94"/>
      <c r="E35" s="29"/>
      <c r="F35" s="94"/>
      <c r="G35" s="29"/>
      <c r="H35" s="29"/>
      <c r="I35" s="29"/>
      <c r="J35" s="29"/>
      <c r="K35" s="29"/>
      <c r="L35" s="29"/>
      <c r="M35" s="29"/>
      <c r="N35" s="29"/>
    </row>
    <row r="36" spans="1:14" ht="15" customHeight="1" x14ac:dyDescent="0.25">
      <c r="A36" s="100"/>
      <c r="B36" s="100"/>
      <c r="C36" s="100"/>
      <c r="D36" s="94"/>
      <c r="E36" s="29"/>
      <c r="F36" s="94"/>
      <c r="G36" s="29"/>
      <c r="H36" s="29"/>
      <c r="I36" s="29"/>
      <c r="J36" s="29"/>
      <c r="K36" s="29"/>
      <c r="L36" s="29"/>
      <c r="M36" s="29"/>
      <c r="N36" s="29"/>
    </row>
    <row r="37" spans="1:14" ht="15" customHeight="1" x14ac:dyDescent="0.25">
      <c r="A37" s="100"/>
      <c r="B37" s="100"/>
      <c r="C37" s="100"/>
      <c r="D37" s="94"/>
      <c r="E37" s="29"/>
      <c r="F37" s="94"/>
      <c r="G37" s="29"/>
      <c r="H37" s="29"/>
      <c r="I37" s="29"/>
      <c r="J37" s="29"/>
      <c r="K37" s="29"/>
      <c r="L37" s="29"/>
      <c r="M37" s="29"/>
      <c r="N37" s="29"/>
    </row>
    <row r="38" spans="1:14" ht="15" customHeight="1" x14ac:dyDescent="0.25">
      <c r="A38" s="100"/>
      <c r="B38" s="100"/>
      <c r="C38" s="100"/>
      <c r="D38" s="94"/>
      <c r="E38" s="29"/>
      <c r="F38" s="94"/>
      <c r="G38" s="29"/>
      <c r="H38" s="29"/>
      <c r="I38" s="29"/>
      <c r="J38" s="29"/>
      <c r="K38" s="29"/>
      <c r="L38" s="29"/>
      <c r="M38" s="29"/>
      <c r="N38" s="29"/>
    </row>
    <row r="39" spans="1:14" ht="15" customHeight="1" x14ac:dyDescent="0.25">
      <c r="A39" s="100"/>
      <c r="B39" s="100"/>
      <c r="C39" s="100"/>
      <c r="D39" s="94"/>
      <c r="E39" s="29"/>
      <c r="F39" s="94"/>
      <c r="G39" s="29"/>
      <c r="H39" s="29"/>
      <c r="I39" s="29"/>
      <c r="J39" s="29"/>
      <c r="K39" s="29"/>
      <c r="L39" s="29"/>
      <c r="M39" s="29"/>
      <c r="N39" s="29"/>
    </row>
    <row r="40" spans="1:14" ht="15" customHeight="1" x14ac:dyDescent="0.25">
      <c r="A40" s="100"/>
      <c r="B40" s="100"/>
      <c r="C40" s="100"/>
      <c r="D40" s="94"/>
      <c r="E40" s="29"/>
      <c r="F40" s="94"/>
      <c r="G40" s="29"/>
      <c r="H40" s="29"/>
      <c r="I40" s="29"/>
      <c r="J40" s="29"/>
      <c r="K40" s="29"/>
      <c r="L40" s="29"/>
      <c r="M40" s="29"/>
      <c r="N40" s="29"/>
    </row>
    <row r="41" spans="1:14" ht="15" customHeight="1" x14ac:dyDescent="0.25">
      <c r="A41" s="100"/>
      <c r="B41" s="100"/>
      <c r="C41" s="100"/>
      <c r="D41" s="94"/>
      <c r="E41" s="29"/>
      <c r="F41" s="94"/>
      <c r="G41" s="29"/>
      <c r="H41" s="29"/>
      <c r="I41" s="29"/>
      <c r="J41" s="29"/>
      <c r="K41" s="29"/>
      <c r="L41" s="29"/>
      <c r="M41" s="29"/>
      <c r="N41" s="29"/>
    </row>
    <row r="42" spans="1:14" ht="15" customHeight="1" x14ac:dyDescent="0.25">
      <c r="A42" s="100"/>
      <c r="B42" s="100"/>
      <c r="C42" s="100"/>
      <c r="D42" s="94"/>
      <c r="E42" s="29"/>
      <c r="F42" s="94"/>
      <c r="G42" s="29"/>
      <c r="H42" s="29"/>
      <c r="I42" s="29"/>
      <c r="J42" s="29"/>
      <c r="K42" s="29"/>
      <c r="L42" s="29"/>
      <c r="M42" s="29"/>
      <c r="N42" s="29"/>
    </row>
    <row r="43" spans="1:14" ht="15" customHeight="1" x14ac:dyDescent="0.25">
      <c r="A43" s="100"/>
      <c r="B43" s="100"/>
      <c r="C43" s="100"/>
      <c r="D43" s="94"/>
      <c r="E43" s="29"/>
      <c r="F43" s="94"/>
      <c r="G43" s="29"/>
      <c r="H43" s="29"/>
      <c r="I43" s="29"/>
      <c r="J43" s="29"/>
      <c r="K43" s="29"/>
      <c r="L43" s="29"/>
      <c r="M43" s="29"/>
      <c r="N43" s="29"/>
    </row>
    <row r="44" spans="1:14" ht="15" customHeight="1" x14ac:dyDescent="0.25">
      <c r="A44" s="100"/>
      <c r="B44" s="100"/>
      <c r="C44" s="100"/>
      <c r="D44" s="94"/>
      <c r="E44" s="29"/>
      <c r="F44" s="94"/>
      <c r="G44" s="29"/>
      <c r="H44" s="29"/>
      <c r="I44" s="29"/>
      <c r="J44" s="29"/>
      <c r="K44" s="29"/>
      <c r="L44" s="29"/>
      <c r="M44" s="29"/>
      <c r="N44" s="29"/>
    </row>
    <row r="45" spans="1:14" ht="15" customHeight="1" x14ac:dyDescent="0.25">
      <c r="A45" s="100"/>
      <c r="B45" s="100"/>
      <c r="C45" s="100"/>
      <c r="D45" s="94"/>
      <c r="E45" s="29"/>
      <c r="F45" s="94"/>
      <c r="G45" s="29"/>
      <c r="H45" s="29"/>
      <c r="I45" s="29"/>
      <c r="J45" s="29"/>
      <c r="K45" s="29"/>
      <c r="L45" s="29"/>
      <c r="M45" s="29"/>
      <c r="N45" s="29"/>
    </row>
    <row r="46" spans="1:14" ht="15" customHeight="1" x14ac:dyDescent="0.25">
      <c r="A46" s="100"/>
      <c r="B46" s="100"/>
      <c r="C46" s="100"/>
      <c r="D46" s="94"/>
      <c r="E46" s="29"/>
      <c r="F46" s="94"/>
      <c r="G46" s="29"/>
      <c r="H46" s="29"/>
      <c r="I46" s="29"/>
      <c r="J46" s="29"/>
      <c r="K46" s="29"/>
      <c r="L46" s="29"/>
      <c r="M46" s="29"/>
      <c r="N46" s="29"/>
    </row>
    <row r="47" spans="1:14" ht="15" customHeight="1" x14ac:dyDescent="0.25">
      <c r="A47" s="100"/>
      <c r="B47" s="100"/>
      <c r="C47" s="100"/>
      <c r="D47" s="94"/>
      <c r="E47" s="29"/>
      <c r="F47" s="94"/>
      <c r="G47" s="29"/>
      <c r="H47" s="29"/>
      <c r="I47" s="29"/>
      <c r="J47" s="29"/>
      <c r="K47" s="29"/>
      <c r="L47" s="29"/>
      <c r="M47" s="29"/>
      <c r="N47" s="29"/>
    </row>
    <row r="48" spans="1:14" ht="15" customHeight="1" x14ac:dyDescent="0.25">
      <c r="A48" s="100"/>
      <c r="B48" s="100"/>
      <c r="C48" s="100"/>
      <c r="D48" s="94"/>
      <c r="E48" s="29"/>
      <c r="F48" s="94"/>
      <c r="G48" s="29"/>
      <c r="H48" s="29"/>
      <c r="I48" s="29"/>
      <c r="J48" s="29"/>
      <c r="K48" s="29"/>
      <c r="L48" s="29"/>
      <c r="M48" s="29"/>
      <c r="N48" s="29"/>
    </row>
    <row r="49" spans="1:14" ht="15" customHeight="1" x14ac:dyDescent="0.25">
      <c r="A49" s="100"/>
      <c r="B49" s="100"/>
      <c r="C49" s="100"/>
      <c r="D49" s="94"/>
      <c r="E49" s="29"/>
      <c r="F49" s="94"/>
      <c r="G49" s="29"/>
      <c r="H49" s="29"/>
      <c r="I49" s="29"/>
      <c r="J49" s="29"/>
      <c r="K49" s="29"/>
      <c r="L49" s="29"/>
      <c r="M49" s="29"/>
      <c r="N49" s="29"/>
    </row>
    <row r="50" spans="1:14" ht="15" customHeight="1" x14ac:dyDescent="0.25">
      <c r="A50" s="100"/>
      <c r="B50" s="100"/>
      <c r="C50" s="100"/>
      <c r="D50" s="94"/>
      <c r="E50" s="29"/>
      <c r="F50" s="94"/>
      <c r="G50" s="29"/>
      <c r="H50" s="29"/>
      <c r="I50" s="29"/>
      <c r="J50" s="29"/>
      <c r="K50" s="29"/>
      <c r="L50" s="29"/>
      <c r="M50" s="29"/>
      <c r="N50" s="29"/>
    </row>
    <row r="51" spans="1:14" ht="15" customHeight="1" x14ac:dyDescent="0.25">
      <c r="A51" s="100"/>
      <c r="B51" s="100"/>
      <c r="C51" s="100"/>
      <c r="D51" s="94"/>
      <c r="E51" s="29"/>
      <c r="F51" s="94"/>
      <c r="G51" s="29"/>
      <c r="H51" s="29"/>
      <c r="I51" s="29"/>
      <c r="J51" s="29"/>
      <c r="K51" s="29"/>
      <c r="L51" s="29"/>
      <c r="M51" s="29"/>
      <c r="N51" s="29"/>
    </row>
    <row r="52" spans="1:14" ht="15" customHeight="1" x14ac:dyDescent="0.25">
      <c r="A52" s="100"/>
      <c r="B52" s="100"/>
      <c r="C52" s="100"/>
      <c r="D52" s="94"/>
      <c r="E52" s="29"/>
      <c r="F52" s="94"/>
      <c r="G52" s="29"/>
      <c r="H52" s="29"/>
      <c r="I52" s="29"/>
      <c r="J52" s="29"/>
      <c r="K52" s="29"/>
      <c r="L52" s="29"/>
      <c r="M52" s="29"/>
      <c r="N52" s="29"/>
    </row>
    <row r="53" spans="1:14" ht="15" customHeight="1" x14ac:dyDescent="0.25">
      <c r="A53" s="100"/>
      <c r="B53" s="100"/>
      <c r="C53" s="100"/>
      <c r="D53" s="94"/>
      <c r="E53" s="29"/>
      <c r="F53" s="94"/>
      <c r="G53" s="29"/>
      <c r="H53" s="29"/>
      <c r="I53" s="29"/>
      <c r="J53" s="29"/>
      <c r="K53" s="29"/>
      <c r="L53" s="29"/>
      <c r="M53" s="29"/>
      <c r="N53" s="29"/>
    </row>
    <row r="54" spans="1:14" ht="15" customHeight="1" x14ac:dyDescent="0.25">
      <c r="A54" s="100"/>
      <c r="B54" s="100"/>
      <c r="C54" s="100"/>
      <c r="D54" s="94"/>
      <c r="E54" s="29"/>
      <c r="F54" s="94"/>
      <c r="G54" s="29"/>
      <c r="H54" s="29"/>
      <c r="I54" s="29"/>
      <c r="J54" s="29"/>
      <c r="K54" s="29"/>
      <c r="L54" s="29"/>
      <c r="M54" s="29"/>
      <c r="N54" s="29"/>
    </row>
    <row r="55" spans="1:14" ht="15" customHeight="1" x14ac:dyDescent="0.25">
      <c r="A55" s="100"/>
      <c r="B55" s="100"/>
      <c r="C55" s="100"/>
      <c r="D55" s="94"/>
      <c r="E55" s="29"/>
      <c r="F55" s="94"/>
      <c r="G55" s="29"/>
      <c r="H55" s="29"/>
      <c r="I55" s="29"/>
      <c r="J55" s="29"/>
      <c r="K55" s="29"/>
      <c r="L55" s="29"/>
      <c r="M55" s="29"/>
      <c r="N55" s="29"/>
    </row>
    <row r="56" spans="1:14" ht="15" customHeight="1" x14ac:dyDescent="0.25">
      <c r="A56" s="100"/>
      <c r="B56" s="100"/>
      <c r="C56" s="100"/>
      <c r="D56" s="94"/>
      <c r="E56" s="29"/>
      <c r="F56" s="94"/>
      <c r="G56" s="29"/>
      <c r="H56" s="29"/>
      <c r="I56" s="29"/>
      <c r="J56" s="29"/>
      <c r="K56" s="29"/>
      <c r="L56" s="29"/>
      <c r="M56" s="29"/>
      <c r="N56" s="29"/>
    </row>
    <row r="57" spans="1:14" ht="15" customHeight="1" x14ac:dyDescent="0.25">
      <c r="A57" s="100"/>
      <c r="B57" s="100"/>
      <c r="C57" s="100"/>
      <c r="D57" s="94"/>
      <c r="E57" s="29"/>
      <c r="F57" s="94"/>
      <c r="G57" s="29"/>
      <c r="H57" s="29"/>
      <c r="I57" s="29"/>
      <c r="J57" s="29"/>
      <c r="K57" s="29"/>
      <c r="L57" s="29"/>
      <c r="M57" s="29"/>
      <c r="N57" s="29"/>
    </row>
    <row r="58" spans="1:14" ht="15" customHeight="1" x14ac:dyDescent="0.25">
      <c r="A58" s="100"/>
      <c r="B58" s="100"/>
      <c r="C58" s="100"/>
      <c r="D58" s="94"/>
      <c r="E58" s="29"/>
      <c r="F58" s="94"/>
      <c r="G58" s="29"/>
      <c r="H58" s="29"/>
      <c r="I58" s="29"/>
      <c r="J58" s="29"/>
      <c r="K58" s="29"/>
      <c r="L58" s="29"/>
      <c r="M58" s="29"/>
      <c r="N58" s="29"/>
    </row>
    <row r="59" spans="1:14" ht="15" customHeight="1" x14ac:dyDescent="0.25">
      <c r="A59" s="100"/>
      <c r="B59" s="100"/>
      <c r="C59" s="100"/>
      <c r="D59" s="94"/>
      <c r="E59" s="29"/>
      <c r="F59" s="94"/>
      <c r="G59" s="29"/>
      <c r="H59" s="29"/>
      <c r="I59" s="29"/>
      <c r="J59" s="29"/>
      <c r="K59" s="29"/>
      <c r="L59" s="29"/>
      <c r="M59" s="29"/>
      <c r="N59" s="29"/>
    </row>
    <row r="60" spans="1:14" ht="15" customHeight="1" x14ac:dyDescent="0.25">
      <c r="A60" s="100"/>
      <c r="B60" s="100"/>
      <c r="C60" s="100"/>
      <c r="D60" s="94"/>
      <c r="E60" s="29"/>
      <c r="F60" s="94"/>
      <c r="G60" s="29"/>
      <c r="H60" s="29"/>
      <c r="I60" s="29"/>
      <c r="J60" s="29"/>
      <c r="K60" s="29"/>
      <c r="L60" s="29"/>
      <c r="M60" s="29"/>
      <c r="N60" s="29"/>
    </row>
    <row r="61" spans="1:14" ht="15" customHeight="1" x14ac:dyDescent="0.25">
      <c r="A61" s="100"/>
      <c r="B61" s="100"/>
      <c r="C61" s="100"/>
      <c r="D61" s="94"/>
      <c r="E61" s="29"/>
      <c r="F61" s="94"/>
      <c r="G61" s="29"/>
      <c r="H61" s="29"/>
      <c r="I61" s="29"/>
      <c r="J61" s="29"/>
      <c r="K61" s="29"/>
      <c r="L61" s="29"/>
      <c r="M61" s="29"/>
      <c r="N61" s="29"/>
    </row>
    <row r="62" spans="1:14" ht="15" customHeight="1" x14ac:dyDescent="0.25">
      <c r="A62" s="100"/>
      <c r="B62" s="100"/>
      <c r="C62" s="100"/>
      <c r="D62" s="94"/>
      <c r="E62" s="29"/>
      <c r="F62" s="94"/>
      <c r="G62" s="29"/>
      <c r="H62" s="29"/>
      <c r="I62" s="29"/>
      <c r="J62" s="29"/>
      <c r="K62" s="29"/>
      <c r="L62" s="29"/>
      <c r="M62" s="29"/>
      <c r="N62" s="29"/>
    </row>
    <row r="63" spans="1:14" ht="15" customHeight="1" x14ac:dyDescent="0.25">
      <c r="A63" s="100"/>
      <c r="B63" s="100"/>
      <c r="C63" s="100"/>
      <c r="D63" s="94"/>
      <c r="E63" s="29"/>
      <c r="F63" s="94"/>
      <c r="G63" s="29"/>
      <c r="H63" s="29"/>
      <c r="I63" s="29"/>
      <c r="J63" s="29"/>
      <c r="K63" s="29"/>
      <c r="L63" s="29"/>
      <c r="M63" s="29"/>
      <c r="N63" s="29"/>
    </row>
    <row r="64" spans="1:14" ht="15" customHeight="1" x14ac:dyDescent="0.25">
      <c r="A64" s="100"/>
      <c r="B64" s="100"/>
      <c r="C64" s="100"/>
      <c r="D64" s="94"/>
      <c r="E64" s="29"/>
      <c r="F64" s="94"/>
      <c r="G64" s="29"/>
      <c r="H64" s="29"/>
      <c r="I64" s="29"/>
      <c r="J64" s="29"/>
      <c r="K64" s="29"/>
      <c r="L64" s="29"/>
      <c r="M64" s="29"/>
      <c r="N64" s="29"/>
    </row>
    <row r="65" spans="1:14" ht="15" customHeight="1" x14ac:dyDescent="0.25">
      <c r="A65" s="100"/>
      <c r="B65" s="100"/>
      <c r="C65" s="100"/>
      <c r="D65" s="94"/>
      <c r="E65" s="29"/>
      <c r="F65" s="94"/>
      <c r="G65" s="29"/>
      <c r="H65" s="29"/>
      <c r="I65" s="29"/>
      <c r="J65" s="29"/>
      <c r="K65" s="29"/>
      <c r="L65" s="29"/>
      <c r="M65" s="29"/>
      <c r="N65" s="29"/>
    </row>
    <row r="66" spans="1:14" ht="15" customHeight="1" x14ac:dyDescent="0.25">
      <c r="A66" s="100"/>
      <c r="B66" s="100"/>
      <c r="C66" s="100"/>
      <c r="D66" s="94"/>
      <c r="E66" s="29"/>
      <c r="F66" s="94"/>
      <c r="G66" s="29"/>
      <c r="H66" s="29"/>
      <c r="I66" s="29"/>
      <c r="J66" s="29"/>
      <c r="K66" s="29"/>
      <c r="L66" s="29"/>
      <c r="M66" s="29"/>
      <c r="N66" s="29"/>
    </row>
    <row r="67" spans="1:14" ht="15" customHeight="1" x14ac:dyDescent="0.25">
      <c r="A67" s="100"/>
      <c r="B67" s="100"/>
      <c r="C67" s="100"/>
      <c r="D67" s="94"/>
      <c r="E67" s="29"/>
      <c r="F67" s="94"/>
      <c r="G67" s="29"/>
      <c r="H67" s="29"/>
      <c r="I67" s="29"/>
      <c r="J67" s="29"/>
      <c r="K67" s="29"/>
      <c r="L67" s="29"/>
      <c r="M67" s="29"/>
      <c r="N67" s="29"/>
    </row>
    <row r="68" spans="1:14" ht="15" customHeight="1" x14ac:dyDescent="0.25">
      <c r="A68" s="100"/>
      <c r="B68" s="100"/>
      <c r="C68" s="100"/>
      <c r="D68" s="94"/>
      <c r="E68" s="29"/>
      <c r="F68" s="94"/>
      <c r="G68" s="29"/>
      <c r="H68" s="29"/>
      <c r="I68" s="29"/>
      <c r="J68" s="29"/>
      <c r="K68" s="29"/>
      <c r="L68" s="29"/>
      <c r="M68" s="29"/>
      <c r="N68" s="29"/>
    </row>
    <row r="69" spans="1:14" ht="15" customHeight="1" x14ac:dyDescent="0.25">
      <c r="A69" s="100"/>
      <c r="B69" s="100"/>
      <c r="C69" s="100"/>
      <c r="D69" s="94"/>
      <c r="E69" s="29"/>
      <c r="F69" s="94"/>
      <c r="G69" s="29"/>
      <c r="H69" s="29"/>
      <c r="I69" s="29"/>
      <c r="J69" s="29"/>
      <c r="K69" s="29"/>
      <c r="L69" s="29"/>
      <c r="M69" s="29"/>
      <c r="N69" s="29"/>
    </row>
    <row r="70" spans="1:14" ht="15" customHeight="1" x14ac:dyDescent="0.25">
      <c r="A70" s="100"/>
      <c r="B70" s="100"/>
      <c r="C70" s="100"/>
      <c r="D70" s="94"/>
      <c r="E70" s="29"/>
      <c r="F70" s="94"/>
      <c r="G70" s="29"/>
      <c r="H70" s="29"/>
      <c r="I70" s="29"/>
      <c r="J70" s="29"/>
      <c r="K70" s="29"/>
      <c r="L70" s="29"/>
      <c r="M70" s="29"/>
      <c r="N70" s="29"/>
    </row>
    <row r="71" spans="1:14" ht="15" customHeight="1" x14ac:dyDescent="0.25">
      <c r="A71" s="100"/>
      <c r="B71" s="100"/>
      <c r="C71" s="100"/>
      <c r="D71" s="94"/>
      <c r="E71" s="29"/>
      <c r="F71" s="94"/>
      <c r="G71" s="29"/>
      <c r="H71" s="29"/>
      <c r="I71" s="29"/>
      <c r="J71" s="29"/>
      <c r="K71" s="29"/>
      <c r="L71" s="29"/>
      <c r="M71" s="29"/>
      <c r="N71" s="29"/>
    </row>
    <row r="72" spans="1:14" ht="15" customHeight="1" x14ac:dyDescent="0.25">
      <c r="A72" s="100"/>
      <c r="B72" s="100"/>
      <c r="C72" s="100"/>
      <c r="D72" s="94"/>
      <c r="E72" s="29"/>
      <c r="F72" s="94"/>
      <c r="G72" s="29"/>
      <c r="H72" s="29"/>
      <c r="I72" s="29"/>
      <c r="J72" s="29"/>
      <c r="K72" s="29"/>
      <c r="L72" s="29"/>
      <c r="M72" s="29"/>
      <c r="N72" s="29"/>
    </row>
    <row r="73" spans="1:14" ht="15" customHeight="1" x14ac:dyDescent="0.25">
      <c r="A73" s="100"/>
      <c r="B73" s="100"/>
      <c r="C73" s="100"/>
      <c r="D73" s="94"/>
      <c r="E73" s="29"/>
      <c r="F73" s="94"/>
      <c r="G73" s="29"/>
      <c r="H73" s="29"/>
      <c r="I73" s="29"/>
      <c r="J73" s="29"/>
      <c r="K73" s="29"/>
      <c r="L73" s="29"/>
      <c r="M73" s="29"/>
      <c r="N73" s="29"/>
    </row>
    <row r="74" spans="1:14" ht="15" customHeight="1" x14ac:dyDescent="0.25">
      <c r="A74" s="100"/>
      <c r="B74" s="100"/>
      <c r="C74" s="100"/>
      <c r="D74" s="94"/>
      <c r="E74" s="29"/>
      <c r="F74" s="94"/>
      <c r="G74" s="29"/>
      <c r="H74" s="29"/>
      <c r="I74" s="29"/>
      <c r="J74" s="29"/>
      <c r="K74" s="29"/>
      <c r="L74" s="29"/>
      <c r="M74" s="29"/>
      <c r="N74" s="29"/>
    </row>
    <row r="75" spans="1:14" ht="15" customHeight="1" x14ac:dyDescent="0.25">
      <c r="A75" s="100"/>
      <c r="B75" s="100"/>
      <c r="C75" s="100"/>
      <c r="D75" s="94"/>
      <c r="E75" s="29"/>
      <c r="F75" s="94"/>
      <c r="G75" s="29"/>
      <c r="H75" s="29"/>
      <c r="I75" s="29"/>
      <c r="J75" s="29"/>
      <c r="K75" s="29"/>
      <c r="L75" s="29"/>
      <c r="M75" s="29"/>
      <c r="N75" s="29"/>
    </row>
    <row r="76" spans="1:14" ht="15" customHeight="1" x14ac:dyDescent="0.25">
      <c r="A76" s="100"/>
      <c r="B76" s="100"/>
      <c r="C76" s="100"/>
      <c r="D76" s="94"/>
      <c r="E76" s="29"/>
      <c r="F76" s="94"/>
      <c r="G76" s="29"/>
      <c r="H76" s="29"/>
      <c r="I76" s="29"/>
      <c r="J76" s="29"/>
      <c r="K76" s="29"/>
      <c r="L76" s="29"/>
      <c r="M76" s="29"/>
      <c r="N76" s="29"/>
    </row>
    <row r="77" spans="1:14" ht="15" customHeight="1" x14ac:dyDescent="0.25">
      <c r="A77" s="100"/>
      <c r="B77" s="100"/>
      <c r="C77" s="100"/>
      <c r="D77" s="94"/>
      <c r="E77" s="29"/>
      <c r="F77" s="94"/>
      <c r="G77" s="29"/>
      <c r="H77" s="29"/>
      <c r="I77" s="29"/>
      <c r="J77" s="29"/>
      <c r="K77" s="29"/>
      <c r="L77" s="29"/>
      <c r="M77" s="29"/>
      <c r="N77" s="29"/>
    </row>
    <row r="78" spans="1:14" ht="15" customHeight="1" x14ac:dyDescent="0.25">
      <c r="A78" s="100"/>
      <c r="B78" s="100"/>
      <c r="C78" s="100"/>
      <c r="D78" s="94"/>
      <c r="E78" s="29"/>
      <c r="F78" s="94"/>
      <c r="G78" s="29"/>
      <c r="H78" s="29"/>
      <c r="I78" s="29"/>
      <c r="J78" s="29"/>
      <c r="K78" s="29"/>
      <c r="L78" s="29"/>
      <c r="M78" s="29"/>
      <c r="N78" s="29"/>
    </row>
    <row r="79" spans="1:14" ht="15" customHeight="1" x14ac:dyDescent="0.25">
      <c r="A79" s="100"/>
      <c r="B79" s="100"/>
      <c r="C79" s="100"/>
      <c r="D79" s="94"/>
      <c r="E79" s="29"/>
      <c r="F79" s="94"/>
      <c r="G79" s="29"/>
      <c r="H79" s="29"/>
      <c r="I79" s="29"/>
      <c r="J79" s="29"/>
      <c r="K79" s="29"/>
      <c r="L79" s="29"/>
      <c r="M79" s="29"/>
      <c r="N79" s="29"/>
    </row>
    <row r="80" spans="1:14" ht="15" customHeight="1" x14ac:dyDescent="0.25">
      <c r="A80" s="100"/>
      <c r="B80" s="100"/>
      <c r="C80" s="100"/>
      <c r="D80" s="94"/>
      <c r="E80" s="29"/>
      <c r="F80" s="94"/>
      <c r="G80" s="29"/>
      <c r="H80" s="29"/>
      <c r="I80" s="29"/>
      <c r="J80" s="29"/>
      <c r="K80" s="29"/>
      <c r="L80" s="29"/>
      <c r="M80" s="29"/>
      <c r="N80" s="29"/>
    </row>
    <row r="81" spans="1:14" ht="15" customHeight="1" x14ac:dyDescent="0.25">
      <c r="A81" s="100"/>
      <c r="B81" s="100"/>
      <c r="C81" s="100"/>
      <c r="D81" s="94"/>
      <c r="E81" s="29"/>
      <c r="F81" s="94"/>
      <c r="G81" s="29"/>
      <c r="H81" s="29"/>
      <c r="I81" s="29"/>
      <c r="J81" s="29"/>
      <c r="K81" s="29"/>
      <c r="L81" s="29"/>
      <c r="M81" s="29"/>
      <c r="N81" s="29"/>
    </row>
    <row r="82" spans="1:14" ht="15" customHeight="1" x14ac:dyDescent="0.25">
      <c r="A82" s="100"/>
      <c r="B82" s="100"/>
      <c r="C82" s="100"/>
      <c r="D82" s="94"/>
      <c r="E82" s="29"/>
      <c r="F82" s="94"/>
      <c r="G82" s="29"/>
      <c r="H82" s="29"/>
      <c r="I82" s="29"/>
      <c r="J82" s="29"/>
      <c r="K82" s="29"/>
      <c r="L82" s="29"/>
      <c r="M82" s="29"/>
      <c r="N82" s="29"/>
    </row>
    <row r="83" spans="1:14" ht="15" customHeight="1" x14ac:dyDescent="0.25">
      <c r="A83" s="100"/>
      <c r="B83" s="100"/>
      <c r="C83" s="100"/>
      <c r="D83" s="94"/>
      <c r="E83" s="29"/>
      <c r="F83" s="94"/>
      <c r="G83" s="29"/>
      <c r="H83" s="29"/>
      <c r="I83" s="29"/>
      <c r="J83" s="29"/>
      <c r="K83" s="29"/>
      <c r="L83" s="29"/>
      <c r="M83" s="29"/>
      <c r="N83" s="29"/>
    </row>
    <row r="84" spans="1:14" ht="15" customHeight="1" x14ac:dyDescent="0.25">
      <c r="A84" s="100"/>
      <c r="B84" s="100"/>
      <c r="C84" s="100"/>
      <c r="D84" s="94"/>
      <c r="E84" s="29"/>
      <c r="F84" s="94"/>
      <c r="G84" s="29"/>
      <c r="H84" s="29"/>
      <c r="I84" s="29"/>
      <c r="J84" s="29"/>
      <c r="K84" s="29"/>
      <c r="L84" s="29"/>
      <c r="M84" s="29"/>
      <c r="N84" s="29"/>
    </row>
    <row r="85" spans="1:14" ht="15" customHeight="1" x14ac:dyDescent="0.25">
      <c r="A85" s="100"/>
      <c r="B85" s="100"/>
      <c r="C85" s="100"/>
      <c r="D85" s="94"/>
      <c r="E85" s="29"/>
      <c r="F85" s="94"/>
      <c r="G85" s="29"/>
      <c r="H85" s="29"/>
      <c r="I85" s="29"/>
      <c r="J85" s="29"/>
      <c r="K85" s="29"/>
      <c r="L85" s="29"/>
      <c r="M85" s="29"/>
      <c r="N85" s="29"/>
    </row>
    <row r="86" spans="1:14" ht="15" customHeight="1" x14ac:dyDescent="0.25">
      <c r="A86" s="100"/>
      <c r="B86" s="100"/>
      <c r="C86" s="100"/>
      <c r="D86" s="94"/>
      <c r="E86" s="29"/>
      <c r="F86" s="94"/>
      <c r="G86" s="29"/>
      <c r="H86" s="29"/>
      <c r="I86" s="29"/>
      <c r="J86" s="29"/>
      <c r="K86" s="29"/>
      <c r="L86" s="29"/>
      <c r="M86" s="29"/>
      <c r="N86" s="29"/>
    </row>
    <row r="87" spans="1:14" ht="15" customHeight="1" x14ac:dyDescent="0.25">
      <c r="A87" s="100"/>
      <c r="B87" s="100"/>
      <c r="C87" s="100"/>
      <c r="D87" s="94"/>
      <c r="E87" s="29"/>
      <c r="F87" s="94"/>
      <c r="G87" s="29"/>
      <c r="H87" s="29"/>
      <c r="I87" s="29"/>
      <c r="J87" s="29"/>
      <c r="K87" s="29"/>
      <c r="L87" s="29"/>
      <c r="M87" s="29"/>
      <c r="N87" s="29"/>
    </row>
    <row r="88" spans="1:14" ht="15" customHeight="1" x14ac:dyDescent="0.25">
      <c r="A88" s="100"/>
      <c r="B88" s="100"/>
      <c r="C88" s="100"/>
      <c r="D88" s="94"/>
      <c r="E88" s="29"/>
      <c r="F88" s="94"/>
      <c r="G88" s="29"/>
      <c r="H88" s="29"/>
      <c r="I88" s="29"/>
      <c r="J88" s="29"/>
      <c r="K88" s="29"/>
      <c r="L88" s="29"/>
      <c r="M88" s="29"/>
      <c r="N88" s="29"/>
    </row>
    <row r="89" spans="1:14" ht="15" customHeight="1" x14ac:dyDescent="0.25">
      <c r="A89" s="100"/>
      <c r="B89" s="100"/>
      <c r="C89" s="100"/>
      <c r="D89" s="94"/>
      <c r="E89" s="29"/>
      <c r="F89" s="94"/>
      <c r="G89" s="29"/>
      <c r="H89" s="29"/>
      <c r="I89" s="29"/>
      <c r="J89" s="29"/>
      <c r="K89" s="29"/>
      <c r="L89" s="29"/>
      <c r="M89" s="29"/>
      <c r="N89" s="29"/>
    </row>
    <row r="90" spans="1:14" ht="15" customHeight="1" x14ac:dyDescent="0.25">
      <c r="A90" s="100"/>
      <c r="B90" s="100"/>
      <c r="C90" s="100"/>
      <c r="D90" s="94"/>
      <c r="E90" s="29"/>
      <c r="F90" s="94"/>
      <c r="G90" s="29"/>
      <c r="H90" s="29"/>
      <c r="I90" s="29"/>
      <c r="J90" s="29"/>
      <c r="K90" s="29"/>
      <c r="L90" s="29"/>
      <c r="M90" s="29"/>
      <c r="N90" s="29"/>
    </row>
    <row r="91" spans="1:14" ht="15" customHeight="1" x14ac:dyDescent="0.25">
      <c r="A91" s="100"/>
      <c r="B91" s="100"/>
      <c r="C91" s="100"/>
      <c r="D91" s="94"/>
      <c r="E91" s="29"/>
      <c r="F91" s="94"/>
      <c r="G91" s="29"/>
      <c r="H91" s="29"/>
      <c r="I91" s="29"/>
      <c r="J91" s="29"/>
      <c r="K91" s="29"/>
      <c r="L91" s="29"/>
      <c r="M91" s="29"/>
      <c r="N91" s="29"/>
    </row>
    <row r="92" spans="1:14" ht="15" customHeight="1" x14ac:dyDescent="0.25">
      <c r="A92" s="100"/>
      <c r="B92" s="100"/>
      <c r="C92" s="100"/>
      <c r="D92" s="94"/>
      <c r="E92" s="29"/>
      <c r="F92" s="94"/>
      <c r="G92" s="29"/>
      <c r="H92" s="29"/>
      <c r="I92" s="29"/>
      <c r="J92" s="29"/>
      <c r="K92" s="29"/>
      <c r="L92" s="29"/>
      <c r="M92" s="29"/>
      <c r="N92" s="29"/>
    </row>
    <row r="93" spans="1:14" ht="15" customHeight="1" x14ac:dyDescent="0.25">
      <c r="A93" s="100"/>
      <c r="B93" s="100"/>
      <c r="C93" s="100"/>
      <c r="D93" s="94"/>
      <c r="E93" s="29"/>
      <c r="F93" s="94"/>
      <c r="G93" s="29"/>
      <c r="H93" s="29"/>
      <c r="I93" s="29"/>
      <c r="J93" s="29"/>
      <c r="K93" s="29"/>
      <c r="L93" s="29"/>
      <c r="M93" s="29"/>
      <c r="N93" s="29"/>
    </row>
    <row r="94" spans="1:14" ht="15" customHeight="1" x14ac:dyDescent="0.25">
      <c r="A94" s="100"/>
      <c r="B94" s="100"/>
      <c r="C94" s="100"/>
      <c r="D94" s="94"/>
      <c r="E94" s="29"/>
      <c r="F94" s="94"/>
      <c r="G94" s="29"/>
      <c r="H94" s="29"/>
      <c r="I94" s="29"/>
      <c r="J94" s="29"/>
      <c r="K94" s="29"/>
      <c r="L94" s="29"/>
      <c r="M94" s="29"/>
      <c r="N94" s="29"/>
    </row>
    <row r="95" spans="1:14" ht="15" customHeight="1" x14ac:dyDescent="0.25">
      <c r="A95" s="100"/>
      <c r="B95" s="100"/>
      <c r="C95" s="100"/>
      <c r="D95" s="94"/>
      <c r="E95" s="29"/>
      <c r="F95" s="94"/>
      <c r="G95" s="29"/>
      <c r="H95" s="29"/>
      <c r="I95" s="29"/>
      <c r="J95" s="29"/>
      <c r="K95" s="29"/>
      <c r="L95" s="29"/>
      <c r="M95" s="29"/>
      <c r="N95" s="29"/>
    </row>
    <row r="96" spans="1:14" ht="15" customHeight="1" x14ac:dyDescent="0.25">
      <c r="A96" s="100"/>
      <c r="B96" s="100"/>
      <c r="C96" s="100"/>
      <c r="D96" s="94"/>
      <c r="E96" s="29"/>
      <c r="F96" s="94"/>
      <c r="G96" s="29"/>
      <c r="H96" s="29"/>
      <c r="I96" s="29"/>
      <c r="J96" s="29"/>
      <c r="K96" s="29"/>
      <c r="L96" s="29"/>
      <c r="M96" s="29"/>
      <c r="N96" s="29"/>
    </row>
    <row r="97" spans="1:14" ht="15" customHeight="1" x14ac:dyDescent="0.25">
      <c r="A97" s="100"/>
      <c r="B97" s="100"/>
      <c r="C97" s="100"/>
      <c r="D97" s="94"/>
      <c r="E97" s="29"/>
      <c r="F97" s="94"/>
      <c r="G97" s="29"/>
      <c r="H97" s="29"/>
      <c r="I97" s="29"/>
      <c r="J97" s="29"/>
      <c r="K97" s="29"/>
      <c r="L97" s="29"/>
      <c r="M97" s="29"/>
      <c r="N97" s="29"/>
    </row>
    <row r="98" spans="1:14" ht="15" customHeight="1" x14ac:dyDescent="0.25">
      <c r="A98" s="100"/>
      <c r="B98" s="100"/>
      <c r="C98" s="100"/>
      <c r="D98" s="94"/>
      <c r="E98" s="29"/>
      <c r="F98" s="94"/>
      <c r="G98" s="29"/>
      <c r="H98" s="29"/>
      <c r="I98" s="29"/>
      <c r="J98" s="29"/>
      <c r="K98" s="29"/>
      <c r="L98" s="29"/>
      <c r="M98" s="29"/>
      <c r="N98" s="29"/>
    </row>
    <row r="99" spans="1:14" ht="15" customHeight="1" x14ac:dyDescent="0.25">
      <c r="A99" s="100"/>
      <c r="B99" s="100"/>
      <c r="C99" s="100"/>
      <c r="D99" s="94"/>
      <c r="E99" s="29"/>
      <c r="F99" s="94"/>
      <c r="G99" s="29"/>
      <c r="H99" s="29"/>
      <c r="I99" s="29"/>
      <c r="J99" s="29"/>
      <c r="K99" s="29"/>
      <c r="L99" s="29"/>
      <c r="M99" s="29"/>
      <c r="N99" s="29"/>
    </row>
    <row r="100" spans="1:14" ht="15" customHeight="1" x14ac:dyDescent="0.25">
      <c r="A100" s="100"/>
      <c r="B100" s="100"/>
      <c r="C100" s="100"/>
      <c r="D100" s="94"/>
      <c r="E100" s="29"/>
      <c r="F100" s="94"/>
      <c r="G100" s="29"/>
      <c r="H100" s="29"/>
      <c r="I100" s="29"/>
      <c r="J100" s="29"/>
      <c r="K100" s="29"/>
      <c r="L100" s="29"/>
      <c r="M100" s="29"/>
      <c r="N100" s="29"/>
    </row>
    <row r="101" spans="1:14" ht="15" customHeight="1" x14ac:dyDescent="0.25">
      <c r="A101" s="100"/>
      <c r="B101" s="100"/>
      <c r="C101" s="100"/>
      <c r="D101" s="94"/>
      <c r="E101" s="29"/>
      <c r="F101" s="94"/>
      <c r="G101" s="29"/>
      <c r="H101" s="29"/>
      <c r="I101" s="29"/>
      <c r="J101" s="29"/>
      <c r="K101" s="29"/>
      <c r="L101" s="29"/>
      <c r="M101" s="29"/>
      <c r="N101" s="29"/>
    </row>
    <row r="102" spans="1:14" ht="15" customHeight="1" x14ac:dyDescent="0.25">
      <c r="A102" s="100"/>
      <c r="B102" s="100"/>
      <c r="C102" s="100"/>
      <c r="D102" s="94"/>
      <c r="E102" s="29"/>
      <c r="F102" s="94"/>
      <c r="G102" s="29"/>
      <c r="H102" s="29"/>
      <c r="I102" s="29"/>
      <c r="J102" s="29"/>
      <c r="K102" s="29"/>
      <c r="L102" s="29"/>
      <c r="M102" s="29"/>
      <c r="N102" s="29"/>
    </row>
    <row r="103" spans="1:14" ht="15" customHeight="1" x14ac:dyDescent="0.25">
      <c r="A103" s="100"/>
      <c r="B103" s="100"/>
      <c r="C103" s="100"/>
      <c r="D103" s="94"/>
      <c r="E103" s="29"/>
      <c r="F103" s="94"/>
      <c r="G103" s="29"/>
      <c r="H103" s="29"/>
      <c r="I103" s="29"/>
      <c r="J103" s="29"/>
      <c r="K103" s="29"/>
      <c r="L103" s="29"/>
      <c r="M103" s="29"/>
      <c r="N103" s="29"/>
    </row>
    <row r="104" spans="1:14" ht="15" customHeight="1" x14ac:dyDescent="0.25">
      <c r="A104" s="100"/>
      <c r="B104" s="100"/>
      <c r="C104" s="100"/>
      <c r="D104" s="94"/>
      <c r="E104" s="29"/>
      <c r="F104" s="94"/>
      <c r="G104" s="29"/>
      <c r="H104" s="29"/>
      <c r="I104" s="29"/>
      <c r="J104" s="29"/>
      <c r="K104" s="29"/>
      <c r="L104" s="29"/>
      <c r="M104" s="29"/>
      <c r="N104" s="29"/>
    </row>
    <row r="105" spans="1:14" ht="15" customHeight="1" x14ac:dyDescent="0.25">
      <c r="A105" s="100"/>
      <c r="B105" s="100"/>
      <c r="C105" s="100"/>
      <c r="D105" s="94"/>
      <c r="E105" s="29"/>
      <c r="F105" s="94"/>
      <c r="G105" s="29"/>
      <c r="H105" s="29"/>
      <c r="I105" s="29"/>
      <c r="J105" s="29"/>
      <c r="K105" s="29"/>
      <c r="L105" s="29"/>
      <c r="M105" s="29"/>
      <c r="N105" s="29"/>
    </row>
    <row r="106" spans="1:14" ht="15" customHeight="1" x14ac:dyDescent="0.25">
      <c r="A106" s="100"/>
      <c r="B106" s="100"/>
      <c r="C106" s="100"/>
      <c r="D106" s="94"/>
      <c r="E106" s="29"/>
      <c r="F106" s="94"/>
      <c r="G106" s="29"/>
      <c r="H106" s="29"/>
      <c r="I106" s="29"/>
      <c r="J106" s="29"/>
      <c r="K106" s="29"/>
      <c r="L106" s="29"/>
      <c r="M106" s="29"/>
      <c r="N106" s="29"/>
    </row>
    <row r="107" spans="1:14" ht="15" customHeight="1" x14ac:dyDescent="0.25">
      <c r="A107" s="100"/>
      <c r="B107" s="100"/>
      <c r="C107" s="100"/>
      <c r="D107" s="94"/>
      <c r="E107" s="29"/>
      <c r="F107" s="94"/>
      <c r="G107" s="29"/>
      <c r="H107" s="29"/>
      <c r="I107" s="29"/>
      <c r="J107" s="29"/>
      <c r="K107" s="29"/>
      <c r="L107" s="29"/>
      <c r="M107" s="29"/>
      <c r="N107" s="29"/>
    </row>
    <row r="108" spans="1:14" ht="15" customHeight="1" x14ac:dyDescent="0.25">
      <c r="A108" s="102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</row>
    <row r="109" spans="1:14" ht="15" customHeight="1" x14ac:dyDescent="0.25">
      <c r="A109" s="102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</row>
    <row r="110" spans="1:14" ht="15" customHeight="1" x14ac:dyDescent="0.25">
      <c r="A110" s="102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</row>
    <row r="111" spans="1:14" ht="15" customHeight="1" x14ac:dyDescent="0.25">
      <c r="A111" s="102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</row>
    <row r="112" spans="1:14" ht="15" customHeight="1" x14ac:dyDescent="0.25">
      <c r="A112" s="102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3" spans="1:14" ht="15" customHeight="1" x14ac:dyDescent="0.25">
      <c r="A113" s="102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</row>
    <row r="114" spans="1:14" ht="15" customHeight="1" x14ac:dyDescent="0.25">
      <c r="A114" s="102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</row>
    <row r="115" spans="1:14" ht="15" customHeight="1" x14ac:dyDescent="0.25">
      <c r="A115" s="102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</row>
    <row r="116" spans="1:14" ht="15" customHeight="1" x14ac:dyDescent="0.25">
      <c r="A116" s="102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</row>
    <row r="117" spans="1:14" ht="15" customHeight="1" x14ac:dyDescent="0.25">
      <c r="A117" s="102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</row>
    <row r="118" spans="1:14" ht="15" customHeight="1" x14ac:dyDescent="0.25">
      <c r="A118" s="102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</row>
    <row r="119" spans="1:14" ht="15" customHeight="1" x14ac:dyDescent="0.25">
      <c r="A119" s="102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</row>
    <row r="120" spans="1:14" ht="15" customHeight="1" x14ac:dyDescent="0.25">
      <c r="A120" s="102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</row>
    <row r="121" spans="1:14" ht="15" customHeight="1" x14ac:dyDescent="0.25">
      <c r="A121" s="102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</row>
    <row r="122" spans="1:14" ht="15" customHeight="1" x14ac:dyDescent="0.25">
      <c r="A122" s="102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</row>
    <row r="123" spans="1:14" ht="15" customHeight="1" x14ac:dyDescent="0.25">
      <c r="A123" s="102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</row>
    <row r="124" spans="1:14" ht="15" customHeight="1" x14ac:dyDescent="0.25">
      <c r="A124" s="102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</row>
    <row r="125" spans="1:14" ht="15" customHeight="1" x14ac:dyDescent="0.25">
      <c r="A125" s="102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</row>
    <row r="126" spans="1:14" ht="15" customHeight="1" x14ac:dyDescent="0.25">
      <c r="A126" s="102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</row>
    <row r="127" spans="1:14" ht="15" customHeight="1" x14ac:dyDescent="0.25">
      <c r="A127" s="102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</row>
    <row r="128" spans="1:14" ht="15" customHeight="1" x14ac:dyDescent="0.25">
      <c r="A128" s="102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</row>
    <row r="129" spans="1:14" ht="15" customHeight="1" x14ac:dyDescent="0.25">
      <c r="A129" s="102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</row>
    <row r="130" spans="1:14" ht="15" customHeight="1" x14ac:dyDescent="0.25">
      <c r="A130" s="102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</row>
    <row r="131" spans="1:14" ht="15" customHeight="1" x14ac:dyDescent="0.25">
      <c r="A131" s="102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</row>
    <row r="132" spans="1:14" ht="15" customHeight="1" x14ac:dyDescent="0.25">
      <c r="A132" s="102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</row>
    <row r="133" spans="1:14" ht="15" customHeight="1" x14ac:dyDescent="0.25">
      <c r="A133" s="102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</row>
    <row r="134" spans="1:14" ht="15" customHeight="1" x14ac:dyDescent="0.25">
      <c r="A134" s="102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</row>
    <row r="135" spans="1:14" ht="15" customHeight="1" x14ac:dyDescent="0.25">
      <c r="A135" s="102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</row>
  </sheetData>
  <mergeCells count="11">
    <mergeCell ref="A8:XFD8"/>
    <mergeCell ref="A16:XFD16"/>
    <mergeCell ref="A6:B6"/>
    <mergeCell ref="C6:F6"/>
    <mergeCell ref="A1:XFD1"/>
    <mergeCell ref="A3:B3"/>
    <mergeCell ref="C3:F3"/>
    <mergeCell ref="A4:B4"/>
    <mergeCell ref="C4:F4"/>
    <mergeCell ref="A5:B5"/>
    <mergeCell ref="C5:F5"/>
  </mergeCells>
  <conditionalFormatting sqref="C3">
    <cfRule type="containsBlanks" dxfId="8" priority="4">
      <formula>LEN(TRIM(C3))=0</formula>
    </cfRule>
  </conditionalFormatting>
  <conditionalFormatting sqref="A16">
    <cfRule type="containsBlanks" dxfId="7" priority="3">
      <formula>LEN(TRIM(A16))=0</formula>
    </cfRule>
  </conditionalFormatting>
  <conditionalFormatting sqref="A19:D118 F19:J118">
    <cfRule type="expression" dxfId="6" priority="2">
      <formula>AND(COUNTA($A19:$N19)&gt;0,ISBLANK(A19))</formula>
    </cfRule>
  </conditionalFormatting>
  <conditionalFormatting sqref="A8">
    <cfRule type="containsBlanks" dxfId="5" priority="1">
      <formula>LEN(TRIM(A8))=0</formula>
    </cfRule>
  </conditionalFormatting>
  <dataValidations count="13">
    <dataValidation type="list" showErrorMessage="1" sqref="C3" xr:uid="{659044FF-2645-4AEE-B536-02D842A8616D}">
      <formula1>GeneralCondition</formula1>
    </dataValidation>
    <dataValidation type="list" allowBlank="1" showErrorMessage="1" sqref="C4" xr:uid="{2E371370-D566-44E9-9548-026BBBF093A8}">
      <formula1>Prioritization</formula1>
    </dataValidation>
    <dataValidation type="textLength" operator="lessThanOrEqual" allowBlank="1" showInputMessage="1" showErrorMessage="1" prompt="Max. 1000 Zeichen." sqref="C5" xr:uid="{B8FC9BA2-F0E0-4B80-9029-FB27F9E67F7B}">
      <formula1>1000</formula1>
    </dataValidation>
    <dataValidation type="textLength" operator="lessThanOrEqual" allowBlank="1" showInputMessage="1" showErrorMessage="1" prompt="Max. 1000 Zeichen." sqref="C6" xr:uid="{F4195D83-ABCD-48DD-B930-ABBECFECF127}">
      <formula1>1000</formula1>
    </dataValidation>
    <dataValidation type="list" showInputMessage="1" prompt="Max. 5 Zeichen." sqref="A19:A118" xr:uid="{7F3D01BA-C9E8-40FA-90F1-9073EB8BC033}">
      <formula1>WS17ExpertCodes</formula1>
    </dataValidation>
    <dataValidation type="list" showErrorMessage="1" sqref="B19:B118" xr:uid="{FFE7CC40-4C6F-4F61-B08E-1F00912572FF}">
      <formula1>ElectricityProducerType</formula1>
    </dataValidation>
    <dataValidation type="list" showInputMessage="1" showErrorMessage="1" prompt="Max. 5 Zeichen." sqref="C19:C118" xr:uid="{AF7E6868-6090-4AE8-90F7-F5AE4B3059DC}">
      <formula1>HeatProducerExpertCodes</formula1>
    </dataValidation>
    <dataValidation type="list" showErrorMessage="1" sqref="M19:M118" xr:uid="{C9B0A81A-B022-4CEA-9C41-72AABCADD93E}">
      <formula1>CalculationBase_OnlyLump</formula1>
    </dataValidation>
    <dataValidation type="textLength" operator="lessThanOrEqual" allowBlank="1" showInputMessage="1" showErrorMessage="1" prompt="Max. 250 Zeichen." sqref="D19:D119" xr:uid="{182DA161-09F7-49E2-8977-81E616121799}">
      <formula1>250</formula1>
    </dataValidation>
    <dataValidation type="list" sqref="A11" xr:uid="{04E4F798-5F19-477A-8A9F-90DB3E09DC95}">
      <formula1>EMS_ExpertCode</formula1>
    </dataValidation>
    <dataValidation type="list" showErrorMessage="1" sqref="B11" xr:uid="{76F2CE0E-2253-4B98-8D2E-8F1A18F6B625}">
      <formula1>EnergyManagementSystemType</formula1>
    </dataValidation>
    <dataValidation type="list" showErrorMessage="1" sqref="D11" xr:uid="{A7762CF3-45B2-4FE2-8A27-B2DF689AF43A}">
      <formula1>Boolean</formula1>
    </dataValidation>
    <dataValidation type="list" showErrorMessage="1" sqref="I11" xr:uid="{82003BF4-8987-4842-97C6-0CA20936F81F}">
      <formula1>CalculationBase_OnlyLump</formula1>
    </dataValidation>
  </dataValidations>
  <pageMargins left="0.7" right="0.7" top="0.75" bottom="0.75" header="0.3" footer="0.3"/>
  <pageSetup paperSize="9" orientation="portrait" verticalDpi="30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4833-8325-4B93-8112-BCF3032EB995}">
  <dimension ref="A1:O24"/>
  <sheetViews>
    <sheetView zoomScaleNormal="100" workbookViewId="0"/>
  </sheetViews>
  <sheetFormatPr defaultColWidth="9.1796875" defaultRowHeight="15" customHeight="1" x14ac:dyDescent="0.25"/>
  <cols>
    <col min="1" max="1" width="8.453125" style="1" customWidth="1"/>
    <col min="2" max="3" width="27.7265625" style="1" customWidth="1"/>
    <col min="4" max="4" width="25.54296875" style="1" customWidth="1"/>
    <col min="5" max="5" width="14.26953125" style="1" customWidth="1"/>
    <col min="6" max="6" width="14.81640625" style="1" customWidth="1"/>
    <col min="7" max="9" width="9.7265625" style="1" customWidth="1"/>
    <col min="10" max="10" width="15.453125" style="1" customWidth="1"/>
    <col min="11" max="11" width="22.26953125" style="1" customWidth="1"/>
    <col min="12" max="12" width="17.81640625" style="1" customWidth="1"/>
    <col min="13" max="13" width="13.453125" style="1" customWidth="1"/>
    <col min="14" max="14" width="25.26953125" style="1" customWidth="1"/>
    <col min="15" max="15" width="15.54296875" style="1" customWidth="1"/>
    <col min="16" max="16384" width="9.1796875" style="1"/>
  </cols>
  <sheetData>
    <row r="1" spans="1:15" ht="15" customHeight="1" x14ac:dyDescent="0.25">
      <c r="A1" s="222" t="s">
        <v>60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</row>
    <row r="2" spans="1:15" ht="27.75" customHeight="1" x14ac:dyDescent="0.25">
      <c r="G2" s="24"/>
    </row>
    <row r="3" spans="1:15" ht="15" customHeight="1" x14ac:dyDescent="0.25">
      <c r="A3" s="52"/>
      <c r="G3" s="210" t="s">
        <v>67</v>
      </c>
      <c r="H3" s="206"/>
      <c r="I3" s="207"/>
    </row>
    <row r="4" spans="1:15" s="34" customFormat="1" ht="30" customHeight="1" x14ac:dyDescent="0.25">
      <c r="A4" s="119" t="s">
        <v>16</v>
      </c>
      <c r="B4" s="129" t="s">
        <v>27</v>
      </c>
      <c r="C4" s="129" t="s">
        <v>161</v>
      </c>
      <c r="D4" s="129" t="s">
        <v>61</v>
      </c>
      <c r="E4" s="129" t="s">
        <v>62</v>
      </c>
      <c r="F4" s="129" t="s">
        <v>201</v>
      </c>
      <c r="G4" s="129" t="s">
        <v>68</v>
      </c>
      <c r="H4" s="129" t="s">
        <v>69</v>
      </c>
      <c r="I4" s="129" t="s">
        <v>70</v>
      </c>
      <c r="J4" s="129" t="s">
        <v>119</v>
      </c>
      <c r="K4" s="129" t="s">
        <v>21</v>
      </c>
      <c r="L4" s="119" t="s">
        <v>204</v>
      </c>
      <c r="M4" s="119" t="s">
        <v>205</v>
      </c>
      <c r="N4" s="119" t="s">
        <v>196</v>
      </c>
      <c r="O4" s="119" t="s">
        <v>197</v>
      </c>
    </row>
    <row r="5" spans="1:15" ht="15" customHeight="1" x14ac:dyDescent="0.25">
      <c r="G5" s="24"/>
      <c r="H5" s="24"/>
      <c r="I5" s="24"/>
    </row>
    <row r="6" spans="1:15" ht="15" customHeight="1" x14ac:dyDescent="0.25">
      <c r="G6" s="24"/>
      <c r="H6" s="24"/>
      <c r="I6" s="24"/>
    </row>
    <row r="7" spans="1:15" ht="15" customHeight="1" x14ac:dyDescent="0.25">
      <c r="G7" s="24"/>
      <c r="H7" s="24"/>
      <c r="I7" s="24"/>
    </row>
    <row r="8" spans="1:15" ht="15" customHeight="1" x14ac:dyDescent="0.25">
      <c r="G8" s="24"/>
      <c r="H8" s="24"/>
      <c r="I8" s="24"/>
    </row>
    <row r="9" spans="1:15" ht="15" customHeight="1" x14ac:dyDescent="0.25">
      <c r="G9" s="24"/>
      <c r="H9" s="24"/>
      <c r="I9" s="24"/>
    </row>
    <row r="10" spans="1:15" ht="15" customHeight="1" x14ac:dyDescent="0.25">
      <c r="G10" s="24"/>
      <c r="H10" s="24"/>
      <c r="I10" s="24"/>
    </row>
    <row r="11" spans="1:15" ht="15" customHeight="1" x14ac:dyDescent="0.25">
      <c r="G11" s="24"/>
      <c r="H11" s="24"/>
      <c r="I11" s="24"/>
    </row>
    <row r="12" spans="1:15" ht="15" customHeight="1" x14ac:dyDescent="0.25">
      <c r="G12" s="24"/>
      <c r="H12" s="24"/>
      <c r="I12" s="24"/>
    </row>
    <row r="13" spans="1:15" ht="15" customHeight="1" x14ac:dyDescent="0.25">
      <c r="G13" s="24"/>
      <c r="H13" s="24"/>
      <c r="I13" s="24"/>
    </row>
    <row r="14" spans="1:15" ht="15" customHeight="1" x14ac:dyDescent="0.25">
      <c r="G14" s="24"/>
      <c r="H14" s="24"/>
      <c r="I14" s="24"/>
    </row>
    <row r="15" spans="1:15" ht="15" customHeight="1" x14ac:dyDescent="0.25">
      <c r="G15" s="24"/>
      <c r="H15" s="24"/>
      <c r="I15" s="24"/>
    </row>
    <row r="16" spans="1:15" ht="15" customHeight="1" x14ac:dyDescent="0.25">
      <c r="G16" s="24"/>
      <c r="H16" s="24"/>
      <c r="I16" s="24"/>
    </row>
    <row r="17" spans="7:9" ht="15" customHeight="1" x14ac:dyDescent="0.25">
      <c r="G17" s="24"/>
      <c r="H17" s="24"/>
      <c r="I17" s="24"/>
    </row>
    <row r="18" spans="7:9" ht="15" customHeight="1" x14ac:dyDescent="0.25">
      <c r="G18" s="24"/>
      <c r="H18" s="24"/>
      <c r="I18" s="24"/>
    </row>
    <row r="19" spans="7:9" ht="15" customHeight="1" x14ac:dyDescent="0.25">
      <c r="G19" s="24"/>
      <c r="H19" s="24"/>
      <c r="I19" s="24"/>
    </row>
    <row r="20" spans="7:9" ht="15" customHeight="1" x14ac:dyDescent="0.25">
      <c r="G20" s="24"/>
      <c r="H20" s="24"/>
      <c r="I20" s="24"/>
    </row>
    <row r="21" spans="7:9" ht="15" customHeight="1" x14ac:dyDescent="0.25">
      <c r="G21" s="24"/>
      <c r="H21" s="24"/>
      <c r="I21" s="24"/>
    </row>
    <row r="22" spans="7:9" ht="15" customHeight="1" x14ac:dyDescent="0.25">
      <c r="G22" s="24"/>
      <c r="H22" s="24"/>
      <c r="I22" s="24"/>
    </row>
    <row r="23" spans="7:9" ht="15" customHeight="1" x14ac:dyDescent="0.25">
      <c r="G23" s="24"/>
      <c r="H23" s="24"/>
      <c r="I23" s="24"/>
    </row>
    <row r="24" spans="7:9" ht="15" customHeight="1" x14ac:dyDescent="0.25">
      <c r="G24" s="24"/>
      <c r="H24" s="24"/>
      <c r="I24" s="24"/>
    </row>
  </sheetData>
  <mergeCells count="2">
    <mergeCell ref="G3:I3"/>
    <mergeCell ref="A1:K1"/>
  </mergeCells>
  <conditionalFormatting sqref="A5:K104">
    <cfRule type="expression" dxfId="4" priority="1">
      <formula>AND(COUNTA($A5:$O5)&gt;0,ISBLANK(A5))</formula>
    </cfRule>
  </conditionalFormatting>
  <dataValidations count="5">
    <dataValidation type="list" showInputMessage="1" prompt="Max. 5 Zeichen." sqref="A5:A104" xr:uid="{832D5887-F310-4996-A583-1BDB3C595D51}">
      <formula1>WS18ExpertCodes</formula1>
    </dataValidation>
    <dataValidation type="list" showErrorMessage="1" sqref="C5:C100" xr:uid="{C776DC4C-10D3-4C49-85D7-D8C10C9ABBD3}">
      <formula1>BuildingUsageTypeSelection</formula1>
    </dataValidation>
    <dataValidation type="list" showErrorMessage="1" sqref="N5:N104" xr:uid="{D7C19B6A-8317-4227-81B4-0916FF50E03E}">
      <formula1>CalculationBase_OnlyLump</formula1>
    </dataValidation>
    <dataValidation type="list" showErrorMessage="1" sqref="K5:K104" xr:uid="{9ECF5E5D-8B01-408E-A03E-04B752A83901}">
      <formula1>OtherConsumerType</formula1>
    </dataValidation>
    <dataValidation type="textLength" operator="lessThanOrEqual" allowBlank="1" showInputMessage="1" showErrorMessage="1" prompt="Max. 250 Zeichen." sqref="B5:B105" xr:uid="{4B7F5052-A40C-491C-93BC-69400DBBF499}">
      <formula1>250</formula1>
    </dataValidation>
  </dataValidations>
  <pageMargins left="0.7" right="0.7" top="0.75" bottom="0.75" header="0.3" footer="0.3"/>
  <pageSetup paperSize="9" orientation="portrait" verticalDpi="30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21AC-048F-4794-A3EC-9DEE885D40F9}">
  <sheetPr codeName="Sheet17"/>
  <dimension ref="A1:M24"/>
  <sheetViews>
    <sheetView zoomScaleNormal="100" workbookViewId="0"/>
  </sheetViews>
  <sheetFormatPr defaultColWidth="9.1796875" defaultRowHeight="15" customHeight="1" x14ac:dyDescent="0.25"/>
  <cols>
    <col min="1" max="2" width="28.81640625" style="1" customWidth="1"/>
    <col min="3" max="3" width="21.54296875" style="1" customWidth="1"/>
    <col min="4" max="4" width="19.1796875" style="1" customWidth="1"/>
    <col min="5" max="7" width="9.7265625" style="1" customWidth="1"/>
    <col min="8" max="8" width="28.54296875" style="1" customWidth="1"/>
    <col min="9" max="9" width="24.453125" style="1" customWidth="1"/>
    <col min="10" max="16384" width="9.1796875" style="1"/>
  </cols>
  <sheetData>
    <row r="1" spans="1:13" ht="15" customHeight="1" x14ac:dyDescent="0.25">
      <c r="A1" s="226" t="s">
        <v>63</v>
      </c>
      <c r="B1" s="227"/>
      <c r="C1" s="227"/>
      <c r="D1" s="227"/>
      <c r="E1" s="227"/>
      <c r="F1" s="227"/>
      <c r="G1" s="227"/>
      <c r="H1" s="227"/>
      <c r="I1" s="227"/>
    </row>
    <row r="2" spans="1:13" ht="15" customHeight="1" x14ac:dyDescent="0.25">
      <c r="C2" s="34"/>
      <c r="D2" s="34"/>
      <c r="E2" s="34"/>
      <c r="F2" s="34"/>
      <c r="G2" s="34"/>
    </row>
    <row r="3" spans="1:13" ht="15" customHeight="1" x14ac:dyDescent="0.25">
      <c r="A3" s="34"/>
      <c r="B3" s="34"/>
      <c r="C3" s="34"/>
      <c r="D3" s="34"/>
      <c r="E3" s="224" t="s">
        <v>67</v>
      </c>
      <c r="F3" s="225"/>
      <c r="G3" s="225"/>
    </row>
    <row r="4" spans="1:13" s="34" customFormat="1" ht="25" customHeight="1" x14ac:dyDescent="0.25">
      <c r="A4" s="126" t="s">
        <v>27</v>
      </c>
      <c r="B4" s="126" t="s">
        <v>161</v>
      </c>
      <c r="C4" s="126" t="s">
        <v>21</v>
      </c>
      <c r="D4" s="126" t="s">
        <v>167</v>
      </c>
      <c r="E4" s="126" t="s">
        <v>68</v>
      </c>
      <c r="F4" s="126" t="s">
        <v>69</v>
      </c>
      <c r="G4" s="126" t="s">
        <v>70</v>
      </c>
      <c r="H4" s="126" t="s">
        <v>188</v>
      </c>
      <c r="I4" s="126" t="s">
        <v>189</v>
      </c>
    </row>
    <row r="5" spans="1:13" ht="15" customHeight="1" x14ac:dyDescent="0.25">
      <c r="A5" s="2"/>
      <c r="B5" s="2"/>
      <c r="C5" s="2"/>
      <c r="D5" s="22"/>
      <c r="E5" s="24"/>
      <c r="F5" s="24"/>
      <c r="G5" s="24"/>
    </row>
    <row r="6" spans="1:13" ht="15" customHeight="1" x14ac:dyDescent="0.25">
      <c r="A6" s="2"/>
      <c r="B6" s="2"/>
      <c r="C6" s="2"/>
      <c r="D6" s="22"/>
      <c r="E6" s="24"/>
      <c r="F6" s="24"/>
      <c r="G6" s="24"/>
    </row>
    <row r="7" spans="1:13" ht="15" customHeight="1" x14ac:dyDescent="0.35">
      <c r="A7" s="2"/>
      <c r="B7" s="2"/>
      <c r="C7" s="2"/>
      <c r="D7" s="22"/>
      <c r="E7" s="24"/>
      <c r="F7" s="24"/>
      <c r="G7" s="24"/>
      <c r="M7"/>
    </row>
    <row r="8" spans="1:13" ht="15" customHeight="1" x14ac:dyDescent="0.25">
      <c r="A8" s="2"/>
      <c r="B8" s="2"/>
      <c r="C8" s="2"/>
      <c r="D8" s="22"/>
      <c r="E8" s="24"/>
      <c r="F8" s="24"/>
      <c r="G8" s="24"/>
    </row>
    <row r="9" spans="1:13" ht="15" customHeight="1" x14ac:dyDescent="0.25">
      <c r="A9" s="2"/>
      <c r="B9" s="2"/>
      <c r="C9" s="2"/>
      <c r="D9" s="22"/>
      <c r="E9" s="24"/>
      <c r="F9" s="24"/>
      <c r="G9" s="24"/>
    </row>
    <row r="10" spans="1:13" ht="15" customHeight="1" x14ac:dyDescent="0.25">
      <c r="D10" s="21"/>
      <c r="E10" s="24"/>
      <c r="F10" s="24"/>
      <c r="G10" s="24"/>
    </row>
    <row r="11" spans="1:13" ht="15" customHeight="1" x14ac:dyDescent="0.25">
      <c r="D11" s="21"/>
      <c r="E11" s="24"/>
      <c r="F11" s="24"/>
      <c r="G11" s="24"/>
    </row>
    <row r="12" spans="1:13" ht="15" customHeight="1" x14ac:dyDescent="0.25">
      <c r="D12" s="21"/>
      <c r="E12" s="24"/>
      <c r="F12" s="24"/>
      <c r="G12" s="24"/>
    </row>
    <row r="13" spans="1:13" ht="15" customHeight="1" x14ac:dyDescent="0.25">
      <c r="D13" s="21"/>
      <c r="E13" s="24"/>
      <c r="F13" s="24"/>
      <c r="G13" s="24"/>
    </row>
    <row r="14" spans="1:13" ht="15" customHeight="1" x14ac:dyDescent="0.25">
      <c r="D14" s="21"/>
      <c r="E14" s="24"/>
      <c r="F14" s="24"/>
      <c r="G14" s="24"/>
    </row>
    <row r="15" spans="1:13" ht="15" customHeight="1" x14ac:dyDescent="0.25">
      <c r="D15" s="21"/>
      <c r="E15" s="24"/>
      <c r="F15" s="24"/>
      <c r="G15" s="24"/>
    </row>
    <row r="16" spans="1:13" ht="15" customHeight="1" x14ac:dyDescent="0.25">
      <c r="D16" s="21"/>
      <c r="E16" s="24"/>
      <c r="F16" s="24"/>
      <c r="G16" s="24"/>
    </row>
    <row r="17" spans="4:7" ht="15" customHeight="1" x14ac:dyDescent="0.25">
      <c r="D17" s="21"/>
      <c r="E17" s="24"/>
      <c r="F17" s="24"/>
      <c r="G17" s="24"/>
    </row>
    <row r="18" spans="4:7" ht="15" customHeight="1" x14ac:dyDescent="0.25">
      <c r="D18" s="21"/>
      <c r="E18" s="24"/>
      <c r="F18" s="24"/>
      <c r="G18" s="24"/>
    </row>
    <row r="19" spans="4:7" ht="15" customHeight="1" x14ac:dyDescent="0.25">
      <c r="D19" s="21"/>
      <c r="E19" s="24"/>
      <c r="F19" s="24"/>
      <c r="G19" s="24"/>
    </row>
    <row r="20" spans="4:7" ht="15" customHeight="1" x14ac:dyDescent="0.25">
      <c r="D20" s="21"/>
      <c r="E20" s="24"/>
      <c r="F20" s="24"/>
      <c r="G20" s="24"/>
    </row>
    <row r="21" spans="4:7" ht="15" customHeight="1" x14ac:dyDescent="0.25">
      <c r="D21" s="21"/>
      <c r="E21" s="24"/>
      <c r="F21" s="24"/>
      <c r="G21" s="24"/>
    </row>
    <row r="22" spans="4:7" ht="15" customHeight="1" x14ac:dyDescent="0.25">
      <c r="D22" s="21"/>
      <c r="E22" s="24"/>
      <c r="F22" s="24"/>
      <c r="G22" s="24"/>
    </row>
    <row r="23" spans="4:7" ht="15" customHeight="1" x14ac:dyDescent="0.25">
      <c r="D23" s="21"/>
      <c r="E23" s="24"/>
      <c r="F23" s="24"/>
      <c r="G23" s="24"/>
    </row>
    <row r="24" spans="4:7" ht="15" customHeight="1" x14ac:dyDescent="0.25">
      <c r="D24" s="21"/>
      <c r="E24" s="24"/>
      <c r="F24" s="24"/>
      <c r="G24" s="24"/>
    </row>
  </sheetData>
  <mergeCells count="2">
    <mergeCell ref="E3:G3"/>
    <mergeCell ref="A1:I1"/>
  </mergeCells>
  <conditionalFormatting sqref="A5:H104">
    <cfRule type="expression" dxfId="3" priority="1">
      <formula>AND(COUNTA($A5:$I5)&gt;0,ISBLANK(A5))</formula>
    </cfRule>
  </conditionalFormatting>
  <dataValidations count="3">
    <dataValidation type="list" showErrorMessage="1" sqref="B5:B100" xr:uid="{BE344B95-EC76-4485-B421-AF7C02440942}">
      <formula1>BuildingUsageTypeSelection</formula1>
    </dataValidation>
    <dataValidation type="list" showErrorMessage="1" sqref="C5:C104" xr:uid="{C43F8967-9921-4A4E-B9DA-7467D0BFDD13}">
      <formula1>ConsumerMeterType</formula1>
    </dataValidation>
    <dataValidation type="textLength" operator="lessThanOrEqual" allowBlank="1" showInputMessage="1" showErrorMessage="1" prompt="Max. 250 Zeichen." sqref="A5:A105" xr:uid="{C05D277B-99EE-45CB-94C4-C0AAF053E3B0}">
      <formula1>250</formula1>
    </dataValidation>
  </dataValidation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90FA-34AC-4351-8D54-433626220FD7}">
  <dimension ref="A1:V24"/>
  <sheetViews>
    <sheetView zoomScaleNormal="100" workbookViewId="0"/>
  </sheetViews>
  <sheetFormatPr defaultColWidth="9.1796875" defaultRowHeight="15" customHeight="1" x14ac:dyDescent="0.25"/>
  <cols>
    <col min="1" max="1" width="6.1796875" style="1" customWidth="1"/>
    <col min="2" max="3" width="29.54296875" style="3" customWidth="1"/>
    <col min="4" max="4" width="32.7265625" style="1" customWidth="1"/>
    <col min="5" max="7" width="9.7265625" style="1" customWidth="1"/>
    <col min="8" max="8" width="14.7265625" style="1" customWidth="1"/>
    <col min="9" max="9" width="11.54296875" style="1" customWidth="1"/>
    <col min="10" max="10" width="15.453125" style="1" customWidth="1"/>
    <col min="11" max="11" width="20.1796875" style="1" customWidth="1"/>
    <col min="12" max="12" width="17.1796875" style="1" customWidth="1"/>
    <col min="13" max="13" width="23" style="1" customWidth="1"/>
    <col min="14" max="14" width="17.54296875" style="1" customWidth="1"/>
    <col min="15" max="15" width="18" style="1" customWidth="1"/>
    <col min="16" max="16" width="17.26953125" style="1" customWidth="1"/>
    <col min="17" max="19" width="16.7265625" style="1" customWidth="1"/>
    <col min="20" max="20" width="12.453125" style="1" customWidth="1"/>
    <col min="21" max="21" width="21.26953125" style="1" customWidth="1"/>
    <col min="22" max="22" width="17.26953125" style="1" customWidth="1"/>
    <col min="23" max="16384" width="9.1796875" style="1"/>
  </cols>
  <sheetData>
    <row r="1" spans="1:22" s="155" customFormat="1" ht="15" customHeight="1" thickBot="1" x14ac:dyDescent="0.3">
      <c r="A1" s="154" t="s">
        <v>147</v>
      </c>
    </row>
    <row r="2" spans="1:22" ht="15" customHeight="1" x14ac:dyDescent="0.25">
      <c r="H2" s="4"/>
      <c r="I2" s="21"/>
      <c r="J2" s="21"/>
      <c r="K2" s="4"/>
    </row>
    <row r="3" spans="1:22" ht="15" customHeight="1" x14ac:dyDescent="0.25">
      <c r="A3" s="157" t="s">
        <v>193</v>
      </c>
      <c r="B3" s="172"/>
      <c r="C3" s="228"/>
      <c r="D3" s="229"/>
      <c r="E3" s="57"/>
      <c r="F3" s="57"/>
      <c r="G3" s="57"/>
      <c r="H3" s="57"/>
      <c r="I3" s="57"/>
    </row>
    <row r="4" spans="1:22" ht="62.25" customHeight="1" x14ac:dyDescent="0.25">
      <c r="A4" s="170" t="s">
        <v>18</v>
      </c>
      <c r="B4" s="171"/>
      <c r="C4" s="228"/>
      <c r="D4" s="229"/>
      <c r="E4" s="57"/>
      <c r="F4" s="57"/>
      <c r="G4" s="57"/>
      <c r="H4" s="57"/>
      <c r="I4" s="57"/>
    </row>
    <row r="5" spans="1:22" ht="62.25" customHeight="1" x14ac:dyDescent="0.25">
      <c r="A5" s="170" t="s">
        <v>91</v>
      </c>
      <c r="B5" s="171"/>
      <c r="C5" s="228"/>
      <c r="D5" s="229"/>
      <c r="E5" s="57"/>
      <c r="F5" s="57"/>
      <c r="G5" s="57"/>
      <c r="H5" s="57"/>
      <c r="I5" s="57"/>
    </row>
    <row r="6" spans="1:22" ht="26.25" customHeight="1" x14ac:dyDescent="0.25">
      <c r="H6" s="4"/>
      <c r="I6" s="21"/>
      <c r="J6" s="21"/>
      <c r="K6" s="4"/>
    </row>
    <row r="7" spans="1:22" ht="15" customHeight="1" x14ac:dyDescent="0.25">
      <c r="E7" s="210" t="s">
        <v>67</v>
      </c>
      <c r="F7" s="206"/>
      <c r="G7" s="207"/>
      <c r="H7" s="4"/>
      <c r="I7" s="21"/>
      <c r="K7" s="224" t="s">
        <v>157</v>
      </c>
      <c r="L7" s="225"/>
      <c r="M7" s="225"/>
      <c r="N7" s="85"/>
    </row>
    <row r="8" spans="1:22" ht="34.5" customHeight="1" x14ac:dyDescent="0.25">
      <c r="A8" s="119" t="s">
        <v>16</v>
      </c>
      <c r="B8" s="125" t="s">
        <v>27</v>
      </c>
      <c r="C8" s="125" t="s">
        <v>161</v>
      </c>
      <c r="D8" s="125" t="s">
        <v>156</v>
      </c>
      <c r="E8" s="126" t="s">
        <v>68</v>
      </c>
      <c r="F8" s="126" t="s">
        <v>69</v>
      </c>
      <c r="G8" s="126" t="s">
        <v>70</v>
      </c>
      <c r="H8" s="120" t="s">
        <v>199</v>
      </c>
      <c r="I8" s="125" t="s">
        <v>201</v>
      </c>
      <c r="J8" s="125" t="s">
        <v>119</v>
      </c>
      <c r="K8" s="125" t="s">
        <v>148</v>
      </c>
      <c r="L8" s="125" t="s">
        <v>155</v>
      </c>
      <c r="M8" s="125" t="s">
        <v>149</v>
      </c>
      <c r="N8" s="125" t="s">
        <v>150</v>
      </c>
      <c r="O8" s="125" t="s">
        <v>151</v>
      </c>
      <c r="P8" s="125" t="s">
        <v>152</v>
      </c>
      <c r="Q8" s="125" t="s">
        <v>153</v>
      </c>
      <c r="R8" s="125" t="s">
        <v>154</v>
      </c>
      <c r="S8" s="119" t="s">
        <v>204</v>
      </c>
      <c r="T8" s="119" t="s">
        <v>205</v>
      </c>
      <c r="U8" s="119" t="s">
        <v>196</v>
      </c>
      <c r="V8" s="119" t="s">
        <v>197</v>
      </c>
    </row>
    <row r="9" spans="1:22" ht="15" customHeight="1" x14ac:dyDescent="0.25">
      <c r="E9" s="58"/>
      <c r="F9" s="58"/>
      <c r="G9" s="58"/>
      <c r="H9" s="84"/>
      <c r="I9" s="29"/>
      <c r="J9" s="29"/>
      <c r="K9" s="29"/>
      <c r="L9" s="4"/>
      <c r="N9" s="21"/>
      <c r="O9" s="21"/>
      <c r="P9" s="21"/>
      <c r="Q9" s="21"/>
      <c r="R9" s="21"/>
    </row>
    <row r="10" spans="1:22" ht="15" customHeight="1" x14ac:dyDescent="0.25">
      <c r="E10" s="58"/>
      <c r="F10" s="58"/>
      <c r="G10" s="58"/>
      <c r="H10" s="84"/>
      <c r="I10" s="5"/>
      <c r="J10" s="21"/>
      <c r="K10" s="21"/>
      <c r="L10" s="4"/>
    </row>
    <row r="11" spans="1:22" ht="15" customHeight="1" x14ac:dyDescent="0.25">
      <c r="E11" s="58"/>
      <c r="F11" s="58"/>
      <c r="G11" s="58"/>
      <c r="H11" s="84"/>
      <c r="I11" s="5"/>
      <c r="J11" s="21"/>
      <c r="K11" s="21"/>
      <c r="L11" s="4"/>
    </row>
    <row r="12" spans="1:22" ht="15" customHeight="1" x14ac:dyDescent="0.25">
      <c r="E12" s="58"/>
      <c r="F12" s="58"/>
      <c r="G12" s="58"/>
      <c r="H12" s="84"/>
      <c r="I12" s="5"/>
      <c r="J12" s="21"/>
      <c r="K12" s="21"/>
      <c r="L12" s="4"/>
    </row>
    <row r="13" spans="1:22" ht="15" customHeight="1" x14ac:dyDescent="0.25">
      <c r="E13" s="58"/>
      <c r="F13" s="58"/>
      <c r="G13" s="58"/>
      <c r="H13" s="84"/>
      <c r="I13" s="5"/>
      <c r="J13" s="21"/>
      <c r="K13" s="21"/>
      <c r="L13" s="4"/>
    </row>
    <row r="14" spans="1:22" ht="15" customHeight="1" x14ac:dyDescent="0.25">
      <c r="E14" s="58"/>
      <c r="F14" s="58"/>
      <c r="G14" s="58"/>
      <c r="H14" s="84"/>
      <c r="I14" s="5"/>
      <c r="J14" s="21"/>
      <c r="K14" s="21"/>
      <c r="L14" s="4"/>
    </row>
    <row r="15" spans="1:22" ht="15" customHeight="1" x14ac:dyDescent="0.25">
      <c r="E15" s="58"/>
      <c r="F15" s="58"/>
      <c r="G15" s="58"/>
      <c r="H15" s="84"/>
      <c r="I15" s="5"/>
      <c r="J15" s="21"/>
      <c r="K15" s="21"/>
      <c r="L15" s="4"/>
    </row>
    <row r="16" spans="1:22" ht="15" customHeight="1" x14ac:dyDescent="0.25">
      <c r="E16" s="58"/>
      <c r="F16" s="58"/>
      <c r="G16" s="58"/>
      <c r="H16" s="84"/>
      <c r="I16" s="5"/>
      <c r="J16" s="21"/>
      <c r="K16" s="21"/>
      <c r="L16" s="4"/>
    </row>
    <row r="17" spans="5:12" ht="15" customHeight="1" x14ac:dyDescent="0.25">
      <c r="E17" s="58"/>
      <c r="F17" s="58"/>
      <c r="G17" s="58"/>
      <c r="H17" s="84"/>
      <c r="I17" s="5"/>
      <c r="J17" s="21"/>
      <c r="K17" s="21"/>
      <c r="L17" s="4"/>
    </row>
    <row r="18" spans="5:12" ht="15" customHeight="1" x14ac:dyDescent="0.25">
      <c r="E18" s="58"/>
      <c r="F18" s="58"/>
      <c r="G18" s="58"/>
      <c r="H18" s="84"/>
      <c r="I18" s="5"/>
      <c r="J18" s="21"/>
      <c r="K18" s="21"/>
      <c r="L18" s="4"/>
    </row>
    <row r="19" spans="5:12" ht="15" customHeight="1" x14ac:dyDescent="0.25">
      <c r="E19" s="58"/>
      <c r="F19" s="58"/>
      <c r="G19" s="58"/>
      <c r="H19" s="84"/>
      <c r="I19" s="5"/>
      <c r="J19" s="21"/>
      <c r="K19" s="21"/>
      <c r="L19" s="4"/>
    </row>
    <row r="20" spans="5:12" ht="15" customHeight="1" x14ac:dyDescent="0.25">
      <c r="E20" s="58"/>
      <c r="F20" s="58"/>
      <c r="G20" s="58"/>
      <c r="H20" s="84"/>
      <c r="I20" s="5"/>
      <c r="J20" s="21"/>
      <c r="K20" s="21"/>
      <c r="L20" s="4"/>
    </row>
    <row r="21" spans="5:12" ht="15" customHeight="1" x14ac:dyDescent="0.25">
      <c r="E21" s="58"/>
      <c r="F21" s="58"/>
      <c r="G21" s="58"/>
      <c r="H21" s="84"/>
      <c r="I21" s="5"/>
      <c r="J21" s="21"/>
      <c r="K21" s="21"/>
      <c r="L21" s="4"/>
    </row>
    <row r="22" spans="5:12" ht="15" customHeight="1" x14ac:dyDescent="0.25">
      <c r="E22" s="58"/>
      <c r="F22" s="58"/>
      <c r="G22" s="58"/>
      <c r="H22" s="84"/>
      <c r="I22" s="5"/>
      <c r="J22" s="21"/>
      <c r="K22" s="21"/>
      <c r="L22" s="4"/>
    </row>
    <row r="23" spans="5:12" ht="15" customHeight="1" x14ac:dyDescent="0.25">
      <c r="E23" s="58"/>
      <c r="F23" s="58"/>
      <c r="G23" s="58"/>
      <c r="H23" s="84"/>
      <c r="I23" s="5"/>
      <c r="J23" s="21"/>
      <c r="K23" s="21"/>
      <c r="L23" s="4"/>
    </row>
    <row r="24" spans="5:12" ht="15" customHeight="1" x14ac:dyDescent="0.25">
      <c r="E24" s="58"/>
      <c r="F24" s="58"/>
      <c r="G24" s="58"/>
      <c r="H24" s="84"/>
      <c r="I24" s="5"/>
      <c r="J24" s="21"/>
      <c r="K24" s="21"/>
      <c r="L24" s="4"/>
    </row>
  </sheetData>
  <mergeCells count="9">
    <mergeCell ref="A1:XFD1"/>
    <mergeCell ref="K7:M7"/>
    <mergeCell ref="A3:B3"/>
    <mergeCell ref="A4:B4"/>
    <mergeCell ref="E7:G7"/>
    <mergeCell ref="A5:B5"/>
    <mergeCell ref="C4:D4"/>
    <mergeCell ref="C3:D3"/>
    <mergeCell ref="C5:D5"/>
  </mergeCells>
  <conditionalFormatting sqref="A9:G13 I9:R13">
    <cfRule type="expression" dxfId="2" priority="1">
      <formula>AND(COUNTA($A9:$V9)&gt;0,ISBLANK(A9))</formula>
    </cfRule>
  </conditionalFormatting>
  <dataValidations count="10">
    <dataValidation type="list" allowBlank="1" showErrorMessage="1" sqref="C3" xr:uid="{F8D6FFA2-93C9-451D-85D3-3DA14C918CD3}">
      <formula1>Prioritization</formula1>
    </dataValidation>
    <dataValidation type="textLength" operator="lessThanOrEqual" allowBlank="1" showInputMessage="1" showErrorMessage="1" prompt="Max. 1000 Zeichen." sqref="C4" xr:uid="{F2FF4C5C-2F2C-4B97-9E83-8D91ECB93C98}">
      <formula1>1000</formula1>
    </dataValidation>
    <dataValidation type="textLength" operator="lessThanOrEqual" allowBlank="1" showInputMessage="1" showErrorMessage="1" prompt="Max. 1000 Zeichen." sqref="C5" xr:uid="{193E9D1C-6F49-40DF-8191-6F85EC7650FA}">
      <formula1>1000</formula1>
    </dataValidation>
    <dataValidation type="list" showInputMessage="1" prompt="Max. 5 Zeichen." sqref="A9:A108" xr:uid="{B705DAA2-A89A-441E-A551-69488F170C48}">
      <formula1>WS20ExpertCodes</formula1>
    </dataValidation>
    <dataValidation type="list" showErrorMessage="1" sqref="C9:C100" xr:uid="{E1BE5414-B2FA-46B4-949A-F62EE1A6C602}">
      <formula1>BuildingUsageTypeSelection</formula1>
    </dataValidation>
    <dataValidation type="list" showErrorMessage="1" sqref="D9:D108" xr:uid="{A4726847-213E-4B72-841B-9DEB561889A7}">
      <formula1>StandardVentilationType</formula1>
    </dataValidation>
    <dataValidation type="list" allowBlank="1" showErrorMessage="1" sqref="L9:L108" xr:uid="{97C6A706-61AF-4D5A-B2B7-B41639AEE67F}">
      <formula1>HeatExchangerType</formula1>
    </dataValidation>
    <dataValidation type="list" allowBlank="1" showErrorMessage="1" sqref="M9:M108" xr:uid="{20DE08F0-6530-43FE-8716-C105C37B4ECD}">
      <formula1>FanType</formula1>
    </dataValidation>
    <dataValidation type="list" allowBlank="1" showErrorMessage="1" sqref="U9:U108" xr:uid="{83DD3F04-7807-4261-8834-C68F20EEDECD}">
      <formula1>CalculationBase_OnlyLump</formula1>
    </dataValidation>
    <dataValidation type="textLength" operator="lessThanOrEqual" allowBlank="1" showInputMessage="1" showErrorMessage="1" prompt="Max. 250 Zeichen." sqref="B9:B109" xr:uid="{3FCD0DAE-A020-4321-822E-015A34C0D346}">
      <formula1>250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E378-5CEF-42BD-8C47-D90245B50AB8}">
  <sheetPr codeName="Sheet18"/>
  <dimension ref="A1:CC43"/>
  <sheetViews>
    <sheetView zoomScaleNormal="100" workbookViewId="0"/>
  </sheetViews>
  <sheetFormatPr defaultRowHeight="14.5" x14ac:dyDescent="0.35"/>
  <sheetData>
    <row r="1" spans="1:81" ht="29" x14ac:dyDescent="0.35">
      <c r="A1" s="105" t="s">
        <v>209</v>
      </c>
      <c r="B1" s="104" t="s">
        <v>210</v>
      </c>
      <c r="C1" s="105" t="s">
        <v>211</v>
      </c>
      <c r="D1">
        <v>5</v>
      </c>
    </row>
    <row r="3" spans="1:81" x14ac:dyDescent="0.35">
      <c r="A3" t="s">
        <v>212</v>
      </c>
      <c r="B3" t="s">
        <v>218</v>
      </c>
      <c r="C3" t="s">
        <v>219</v>
      </c>
      <c r="D3" t="s">
        <v>225</v>
      </c>
      <c r="E3" t="s">
        <v>228</v>
      </c>
      <c r="F3" t="s">
        <v>234</v>
      </c>
      <c r="G3" t="s">
        <v>238</v>
      </c>
      <c r="H3" t="s">
        <v>240</v>
      </c>
      <c r="I3" t="s">
        <v>251</v>
      </c>
      <c r="J3" t="s">
        <v>256</v>
      </c>
      <c r="K3" t="s">
        <v>259</v>
      </c>
      <c r="L3" t="s">
        <v>292</v>
      </c>
      <c r="M3" t="s">
        <v>302</v>
      </c>
      <c r="N3" t="s">
        <v>307</v>
      </c>
      <c r="O3" t="s">
        <v>314</v>
      </c>
      <c r="P3" t="s">
        <v>322</v>
      </c>
      <c r="Q3" t="s">
        <v>329</v>
      </c>
      <c r="R3" t="s">
        <v>336</v>
      </c>
      <c r="S3" t="s">
        <v>338</v>
      </c>
      <c r="T3" t="s">
        <v>343</v>
      </c>
      <c r="U3" t="s">
        <v>352</v>
      </c>
      <c r="V3" t="s">
        <v>373</v>
      </c>
      <c r="W3" t="s">
        <v>381</v>
      </c>
      <c r="X3" t="s">
        <v>390</v>
      </c>
      <c r="Y3" t="s">
        <v>393</v>
      </c>
      <c r="Z3" t="s">
        <v>146</v>
      </c>
      <c r="AA3" t="s">
        <v>419</v>
      </c>
      <c r="AB3" t="s">
        <v>427</v>
      </c>
      <c r="AC3" t="s">
        <v>431</v>
      </c>
      <c r="AD3" t="s">
        <v>452</v>
      </c>
      <c r="AE3" t="s">
        <v>458</v>
      </c>
      <c r="AF3" t="s">
        <v>110</v>
      </c>
      <c r="AG3" t="s">
        <v>98</v>
      </c>
      <c r="AH3" t="s">
        <v>477</v>
      </c>
      <c r="AI3" t="s">
        <v>483</v>
      </c>
      <c r="AJ3" t="s">
        <v>504</v>
      </c>
      <c r="AK3" t="s">
        <v>185</v>
      </c>
      <c r="AL3" t="s">
        <v>527</v>
      </c>
      <c r="AM3" t="s">
        <v>537</v>
      </c>
      <c r="AN3" t="s">
        <v>542</v>
      </c>
      <c r="AO3" t="s">
        <v>546</v>
      </c>
      <c r="AP3" t="s">
        <v>100</v>
      </c>
      <c r="AQ3" t="s">
        <v>547</v>
      </c>
      <c r="AR3" t="s">
        <v>564</v>
      </c>
      <c r="AS3" t="s">
        <v>570</v>
      </c>
      <c r="AT3" t="s">
        <v>599</v>
      </c>
      <c r="AU3" t="s">
        <v>604</v>
      </c>
      <c r="AV3" t="s">
        <v>607</v>
      </c>
      <c r="AW3" t="s">
        <v>611</v>
      </c>
      <c r="AX3" t="s">
        <v>35</v>
      </c>
      <c r="AY3" t="s">
        <v>624</v>
      </c>
      <c r="AZ3" t="s">
        <v>628</v>
      </c>
      <c r="BA3" t="s">
        <v>630</v>
      </c>
      <c r="BB3" t="s">
        <v>634</v>
      </c>
      <c r="BC3" t="s">
        <v>645</v>
      </c>
      <c r="BD3" t="s">
        <v>648</v>
      </c>
      <c r="BE3" t="s">
        <v>650</v>
      </c>
      <c r="BF3" t="s">
        <v>651</v>
      </c>
      <c r="BG3" t="s">
        <v>655</v>
      </c>
      <c r="BH3" t="s">
        <v>664</v>
      </c>
      <c r="BI3" t="s">
        <v>666</v>
      </c>
      <c r="BJ3" t="s">
        <v>677</v>
      </c>
      <c r="BK3" t="s">
        <v>198</v>
      </c>
      <c r="BL3" t="s">
        <v>33</v>
      </c>
      <c r="BM3" t="s">
        <v>703</v>
      </c>
      <c r="BN3" t="s">
        <v>714</v>
      </c>
      <c r="BO3" t="s">
        <v>716</v>
      </c>
      <c r="BP3" t="s">
        <v>719</v>
      </c>
      <c r="BQ3" t="s">
        <v>730</v>
      </c>
      <c r="BR3" t="s">
        <v>733</v>
      </c>
      <c r="BS3" t="s">
        <v>744</v>
      </c>
      <c r="BT3" t="s">
        <v>20</v>
      </c>
      <c r="BU3" t="s">
        <v>758</v>
      </c>
      <c r="BV3" t="s">
        <v>131</v>
      </c>
      <c r="BW3" t="s">
        <v>17</v>
      </c>
      <c r="BX3" t="s">
        <v>775</v>
      </c>
      <c r="BY3" t="s">
        <v>786</v>
      </c>
      <c r="BZ3" t="s">
        <v>194</v>
      </c>
      <c r="CA3" t="s">
        <v>186</v>
      </c>
      <c r="CB3" t="s">
        <v>790</v>
      </c>
      <c r="CC3" t="s">
        <v>794</v>
      </c>
    </row>
    <row r="4" spans="1:81" x14ac:dyDescent="0.35">
      <c r="A4" t="s">
        <v>213</v>
      </c>
      <c r="B4" t="s">
        <v>213</v>
      </c>
      <c r="C4" t="s">
        <v>220</v>
      </c>
      <c r="D4" t="s">
        <v>226</v>
      </c>
      <c r="E4" t="s">
        <v>229</v>
      </c>
      <c r="F4" t="s">
        <v>235</v>
      </c>
      <c r="G4" t="s">
        <v>239</v>
      </c>
      <c r="H4" t="s">
        <v>241</v>
      </c>
      <c r="I4" t="s">
        <v>252</v>
      </c>
      <c r="J4" t="s">
        <v>257</v>
      </c>
      <c r="K4" t="s">
        <v>260</v>
      </c>
      <c r="L4" t="s">
        <v>260</v>
      </c>
      <c r="M4" t="s">
        <v>303</v>
      </c>
      <c r="N4" t="s">
        <v>250</v>
      </c>
      <c r="O4" t="s">
        <v>315</v>
      </c>
      <c r="P4" t="s">
        <v>239</v>
      </c>
      <c r="Q4" t="s">
        <v>330</v>
      </c>
      <c r="R4" t="s">
        <v>337</v>
      </c>
      <c r="S4" t="s">
        <v>339</v>
      </c>
      <c r="T4" t="s">
        <v>344</v>
      </c>
      <c r="U4" t="s">
        <v>353</v>
      </c>
      <c r="V4" t="s">
        <v>374</v>
      </c>
      <c r="W4" t="s">
        <v>382</v>
      </c>
      <c r="X4" t="s">
        <v>391</v>
      </c>
      <c r="Y4" t="s">
        <v>394</v>
      </c>
      <c r="Z4" t="s">
        <v>399</v>
      </c>
      <c r="AA4" t="s">
        <v>420</v>
      </c>
      <c r="AB4" t="s">
        <v>382</v>
      </c>
      <c r="AC4" t="s">
        <v>432</v>
      </c>
      <c r="AD4" t="s">
        <v>453</v>
      </c>
      <c r="AE4" t="s">
        <v>382</v>
      </c>
      <c r="AF4" t="s">
        <v>459</v>
      </c>
      <c r="AG4" t="s">
        <v>97</v>
      </c>
      <c r="AH4" t="s">
        <v>478</v>
      </c>
      <c r="AI4" t="s">
        <v>484</v>
      </c>
      <c r="AJ4" t="s">
        <v>505</v>
      </c>
      <c r="AK4" t="s">
        <v>517</v>
      </c>
      <c r="AL4" t="s">
        <v>528</v>
      </c>
      <c r="AM4" t="s">
        <v>538</v>
      </c>
      <c r="AN4" t="s">
        <v>543</v>
      </c>
      <c r="AO4" t="s">
        <v>391</v>
      </c>
      <c r="AP4" t="s">
        <v>176</v>
      </c>
      <c r="AQ4" t="s">
        <v>548</v>
      </c>
      <c r="AR4" t="s">
        <v>565</v>
      </c>
      <c r="AS4" t="s">
        <v>571</v>
      </c>
      <c r="AT4" t="s">
        <v>600</v>
      </c>
      <c r="AU4" t="s">
        <v>429</v>
      </c>
      <c r="AV4" t="s">
        <v>608</v>
      </c>
      <c r="AW4" t="s">
        <v>612</v>
      </c>
      <c r="AX4" t="s">
        <v>614</v>
      </c>
      <c r="AY4" t="s">
        <v>625</v>
      </c>
      <c r="AZ4" t="s">
        <v>250</v>
      </c>
      <c r="BA4" t="s">
        <v>631</v>
      </c>
      <c r="BB4" t="s">
        <v>635</v>
      </c>
      <c r="BC4" t="s">
        <v>646</v>
      </c>
      <c r="BD4" t="s">
        <v>605</v>
      </c>
      <c r="BE4" t="s">
        <v>176</v>
      </c>
      <c r="BF4" t="s">
        <v>652</v>
      </c>
      <c r="BG4" t="s">
        <v>656</v>
      </c>
      <c r="BH4" t="s">
        <v>652</v>
      </c>
      <c r="BI4" t="s">
        <v>667</v>
      </c>
      <c r="BJ4" t="s">
        <v>678</v>
      </c>
      <c r="BK4" t="s">
        <v>80</v>
      </c>
      <c r="BL4" t="s">
        <v>682</v>
      </c>
      <c r="BM4" t="s">
        <v>704</v>
      </c>
      <c r="BN4" t="s">
        <v>631</v>
      </c>
      <c r="BO4" t="s">
        <v>717</v>
      </c>
      <c r="BP4" t="s">
        <v>720</v>
      </c>
      <c r="BQ4" t="s">
        <v>731</v>
      </c>
      <c r="BR4" t="s">
        <v>734</v>
      </c>
      <c r="BS4" t="s">
        <v>745</v>
      </c>
      <c r="BT4" t="s">
        <v>748</v>
      </c>
      <c r="BU4" t="s">
        <v>759</v>
      </c>
      <c r="BV4" t="s">
        <v>132</v>
      </c>
      <c r="BW4" t="s">
        <v>772</v>
      </c>
      <c r="BX4" t="s">
        <v>776</v>
      </c>
      <c r="BY4" t="s">
        <v>787</v>
      </c>
      <c r="BZ4" t="s">
        <v>776</v>
      </c>
      <c r="CA4" t="s">
        <v>789</v>
      </c>
      <c r="CB4" t="s">
        <v>791</v>
      </c>
      <c r="CC4" t="s">
        <v>795</v>
      </c>
    </row>
    <row r="5" spans="1:81" x14ac:dyDescent="0.35">
      <c r="A5" t="s">
        <v>214</v>
      </c>
      <c r="B5" t="s">
        <v>214</v>
      </c>
      <c r="C5" t="s">
        <v>221</v>
      </c>
      <c r="D5" t="s">
        <v>227</v>
      </c>
      <c r="E5" t="s">
        <v>230</v>
      </c>
      <c r="F5" t="s">
        <v>236</v>
      </c>
      <c r="G5" t="s">
        <v>223</v>
      </c>
      <c r="H5" t="s">
        <v>242</v>
      </c>
      <c r="I5" t="s">
        <v>253</v>
      </c>
      <c r="J5" t="s">
        <v>258</v>
      </c>
      <c r="K5" t="s">
        <v>261</v>
      </c>
      <c r="L5" t="s">
        <v>293</v>
      </c>
      <c r="M5" t="s">
        <v>304</v>
      </c>
      <c r="N5" t="s">
        <v>308</v>
      </c>
      <c r="O5" t="s">
        <v>316</v>
      </c>
      <c r="P5" t="s">
        <v>323</v>
      </c>
      <c r="Q5" t="s">
        <v>331</v>
      </c>
      <c r="S5" t="s">
        <v>340</v>
      </c>
      <c r="T5" t="s">
        <v>345</v>
      </c>
      <c r="U5" t="s">
        <v>354</v>
      </c>
      <c r="V5" t="s">
        <v>375</v>
      </c>
      <c r="W5" t="s">
        <v>383</v>
      </c>
      <c r="X5" t="s">
        <v>392</v>
      </c>
      <c r="Y5" t="s">
        <v>395</v>
      </c>
      <c r="Z5" t="s">
        <v>400</v>
      </c>
      <c r="AA5" t="s">
        <v>421</v>
      </c>
      <c r="AB5" t="s">
        <v>383</v>
      </c>
      <c r="AC5" t="s">
        <v>433</v>
      </c>
      <c r="AD5" t="s">
        <v>454</v>
      </c>
      <c r="AE5" t="s">
        <v>383</v>
      </c>
      <c r="AF5" t="s">
        <v>460</v>
      </c>
      <c r="AG5" t="s">
        <v>95</v>
      </c>
      <c r="AH5" t="s">
        <v>479</v>
      </c>
      <c r="AI5" t="s">
        <v>485</v>
      </c>
      <c r="AJ5" t="s">
        <v>506</v>
      </c>
      <c r="AK5" t="s">
        <v>518</v>
      </c>
      <c r="AL5" t="s">
        <v>529</v>
      </c>
      <c r="AM5" t="s">
        <v>539</v>
      </c>
      <c r="AN5" t="s">
        <v>544</v>
      </c>
      <c r="AP5" t="s">
        <v>177</v>
      </c>
      <c r="AQ5" t="s">
        <v>549</v>
      </c>
      <c r="AR5" t="s">
        <v>566</v>
      </c>
      <c r="AS5" t="s">
        <v>572</v>
      </c>
      <c r="AT5" t="s">
        <v>601</v>
      </c>
      <c r="AU5" t="s">
        <v>605</v>
      </c>
      <c r="AV5" t="s">
        <v>609</v>
      </c>
      <c r="AW5" t="s">
        <v>613</v>
      </c>
      <c r="AX5" t="s">
        <v>615</v>
      </c>
      <c r="AY5" t="s">
        <v>626</v>
      </c>
      <c r="AZ5" t="s">
        <v>629</v>
      </c>
      <c r="BA5" t="s">
        <v>608</v>
      </c>
      <c r="BB5" t="s">
        <v>636</v>
      </c>
      <c r="BC5" t="s">
        <v>647</v>
      </c>
      <c r="BD5" t="s">
        <v>606</v>
      </c>
      <c r="BE5" t="s">
        <v>177</v>
      </c>
      <c r="BF5" t="s">
        <v>653</v>
      </c>
      <c r="BG5" t="s">
        <v>657</v>
      </c>
      <c r="BH5" t="s">
        <v>653</v>
      </c>
      <c r="BI5" t="s">
        <v>668</v>
      </c>
      <c r="BJ5" t="s">
        <v>679</v>
      </c>
      <c r="BK5" t="s">
        <v>31</v>
      </c>
      <c r="BL5" t="s">
        <v>683</v>
      </c>
      <c r="BM5" t="s">
        <v>705</v>
      </c>
      <c r="BN5" t="s">
        <v>608</v>
      </c>
      <c r="BO5" t="s">
        <v>430</v>
      </c>
      <c r="BP5" t="s">
        <v>721</v>
      </c>
      <c r="BQ5" t="s">
        <v>715</v>
      </c>
      <c r="BR5" t="s">
        <v>735</v>
      </c>
      <c r="BS5" t="s">
        <v>746</v>
      </c>
      <c r="BT5" t="s">
        <v>749</v>
      </c>
      <c r="BU5" t="s">
        <v>760</v>
      </c>
      <c r="BV5" t="s">
        <v>763</v>
      </c>
      <c r="BW5" t="s">
        <v>773</v>
      </c>
      <c r="BX5" t="s">
        <v>777</v>
      </c>
      <c r="BY5" t="s">
        <v>788</v>
      </c>
      <c r="BZ5" t="s">
        <v>777</v>
      </c>
      <c r="CB5" t="s">
        <v>792</v>
      </c>
      <c r="CC5" t="s">
        <v>796</v>
      </c>
    </row>
    <row r="6" spans="1:81" x14ac:dyDescent="0.35">
      <c r="A6" t="s">
        <v>215</v>
      </c>
      <c r="B6" t="s">
        <v>215</v>
      </c>
      <c r="C6" t="s">
        <v>222</v>
      </c>
      <c r="D6" t="s">
        <v>222</v>
      </c>
      <c r="E6" t="s">
        <v>221</v>
      </c>
      <c r="F6" t="s">
        <v>237</v>
      </c>
      <c r="G6" t="s">
        <v>227</v>
      </c>
      <c r="H6" t="s">
        <v>243</v>
      </c>
      <c r="I6" t="s">
        <v>254</v>
      </c>
      <c r="K6" t="s">
        <v>262</v>
      </c>
      <c r="L6" t="s">
        <v>261</v>
      </c>
      <c r="M6" t="s">
        <v>305</v>
      </c>
      <c r="N6" t="s">
        <v>309</v>
      </c>
      <c r="O6" t="s">
        <v>317</v>
      </c>
      <c r="P6" t="s">
        <v>324</v>
      </c>
      <c r="Q6" t="s">
        <v>332</v>
      </c>
      <c r="S6" t="s">
        <v>341</v>
      </c>
      <c r="T6" t="s">
        <v>346</v>
      </c>
      <c r="U6" t="s">
        <v>355</v>
      </c>
      <c r="V6" t="s">
        <v>376</v>
      </c>
      <c r="W6" t="s">
        <v>384</v>
      </c>
      <c r="Y6" t="s">
        <v>396</v>
      </c>
      <c r="Z6" t="s">
        <v>401</v>
      </c>
      <c r="AA6" t="s">
        <v>422</v>
      </c>
      <c r="AB6" t="s">
        <v>384</v>
      </c>
      <c r="AC6" t="s">
        <v>434</v>
      </c>
      <c r="AD6" t="s">
        <v>455</v>
      </c>
      <c r="AE6" t="s">
        <v>384</v>
      </c>
      <c r="AF6" t="s">
        <v>461</v>
      </c>
      <c r="AG6" t="s">
        <v>94</v>
      </c>
      <c r="AH6" t="s">
        <v>378</v>
      </c>
      <c r="AI6" t="s">
        <v>486</v>
      </c>
      <c r="AJ6" t="s">
        <v>507</v>
      </c>
      <c r="AK6" t="s">
        <v>519</v>
      </c>
      <c r="AL6" t="s">
        <v>530</v>
      </c>
      <c r="AM6" t="s">
        <v>540</v>
      </c>
      <c r="AN6" t="s">
        <v>545</v>
      </c>
      <c r="AP6" t="s">
        <v>178</v>
      </c>
      <c r="AQ6" t="s">
        <v>550</v>
      </c>
      <c r="AR6" t="s">
        <v>567</v>
      </c>
      <c r="AS6" t="s">
        <v>573</v>
      </c>
      <c r="AT6" t="s">
        <v>602</v>
      </c>
      <c r="AU6" t="s">
        <v>606</v>
      </c>
      <c r="AV6" t="s">
        <v>610</v>
      </c>
      <c r="AX6" t="s">
        <v>616</v>
      </c>
      <c r="AY6" t="s">
        <v>627</v>
      </c>
      <c r="BA6" t="s">
        <v>632</v>
      </c>
      <c r="BB6" t="s">
        <v>637</v>
      </c>
      <c r="BD6" t="s">
        <v>649</v>
      </c>
      <c r="BE6" t="s">
        <v>178</v>
      </c>
      <c r="BF6" t="s">
        <v>654</v>
      </c>
      <c r="BG6" t="s">
        <v>658</v>
      </c>
      <c r="BH6" t="s">
        <v>665</v>
      </c>
      <c r="BI6" t="s">
        <v>669</v>
      </c>
      <c r="BJ6" t="s">
        <v>680</v>
      </c>
      <c r="BK6" t="s">
        <v>78</v>
      </c>
      <c r="BL6" t="s">
        <v>684</v>
      </c>
      <c r="BM6" t="s">
        <v>706</v>
      </c>
      <c r="BN6" t="s">
        <v>715</v>
      </c>
      <c r="BP6" t="s">
        <v>722</v>
      </c>
      <c r="BQ6" t="s">
        <v>732</v>
      </c>
      <c r="BR6" t="s">
        <v>736</v>
      </c>
      <c r="BS6" t="s">
        <v>715</v>
      </c>
      <c r="BT6" t="s">
        <v>750</v>
      </c>
      <c r="BU6" t="s">
        <v>761</v>
      </c>
      <c r="BV6" t="s">
        <v>764</v>
      </c>
      <c r="BX6" t="s">
        <v>778</v>
      </c>
      <c r="BZ6" t="s">
        <v>778</v>
      </c>
      <c r="CB6" t="s">
        <v>793</v>
      </c>
    </row>
    <row r="7" spans="1:81" x14ac:dyDescent="0.35">
      <c r="A7" t="s">
        <v>216</v>
      </c>
      <c r="B7" t="s">
        <v>216</v>
      </c>
      <c r="C7" t="s">
        <v>223</v>
      </c>
      <c r="D7" t="s">
        <v>217</v>
      </c>
      <c r="E7" t="s">
        <v>226</v>
      </c>
      <c r="F7" t="s">
        <v>223</v>
      </c>
      <c r="G7" t="s">
        <v>222</v>
      </c>
      <c r="H7" t="s">
        <v>244</v>
      </c>
      <c r="I7" t="s">
        <v>255</v>
      </c>
      <c r="K7" t="s">
        <v>263</v>
      </c>
      <c r="L7" t="s">
        <v>262</v>
      </c>
      <c r="M7" t="s">
        <v>306</v>
      </c>
      <c r="N7" t="s">
        <v>310</v>
      </c>
      <c r="O7" t="s">
        <v>318</v>
      </c>
      <c r="P7" t="s">
        <v>325</v>
      </c>
      <c r="Q7" t="s">
        <v>333</v>
      </c>
      <c r="T7" t="s">
        <v>347</v>
      </c>
      <c r="U7" t="s">
        <v>356</v>
      </c>
      <c r="V7" t="s">
        <v>377</v>
      </c>
      <c r="W7" t="s">
        <v>385</v>
      </c>
      <c r="Y7" t="s">
        <v>397</v>
      </c>
      <c r="Z7" t="s">
        <v>402</v>
      </c>
      <c r="AA7" t="s">
        <v>423</v>
      </c>
      <c r="AB7" t="s">
        <v>385</v>
      </c>
      <c r="AC7" t="s">
        <v>435</v>
      </c>
      <c r="AD7" t="s">
        <v>456</v>
      </c>
      <c r="AE7" t="s">
        <v>385</v>
      </c>
      <c r="AG7" t="s">
        <v>93</v>
      </c>
      <c r="AH7" t="s">
        <v>379</v>
      </c>
      <c r="AI7" t="s">
        <v>487</v>
      </c>
      <c r="AJ7" t="s">
        <v>508</v>
      </c>
      <c r="AK7" t="s">
        <v>520</v>
      </c>
      <c r="AL7" t="s">
        <v>531</v>
      </c>
      <c r="AM7" t="s">
        <v>541</v>
      </c>
      <c r="AP7" t="s">
        <v>179</v>
      </c>
      <c r="AQ7" t="s">
        <v>551</v>
      </c>
      <c r="AR7" t="s">
        <v>568</v>
      </c>
      <c r="AS7" t="s">
        <v>574</v>
      </c>
      <c r="AT7" t="s">
        <v>603</v>
      </c>
      <c r="AX7" t="s">
        <v>617</v>
      </c>
      <c r="BA7" t="s">
        <v>633</v>
      </c>
      <c r="BB7" t="s">
        <v>638</v>
      </c>
      <c r="BE7" t="s">
        <v>179</v>
      </c>
      <c r="BG7" t="s">
        <v>659</v>
      </c>
      <c r="BI7" t="s">
        <v>670</v>
      </c>
      <c r="BK7" t="s">
        <v>77</v>
      </c>
      <c r="BL7" t="s">
        <v>685</v>
      </c>
      <c r="BM7" t="s">
        <v>707</v>
      </c>
      <c r="BN7" t="s">
        <v>610</v>
      </c>
      <c r="BP7" t="s">
        <v>723</v>
      </c>
      <c r="BR7" t="s">
        <v>737</v>
      </c>
      <c r="BS7" t="s">
        <v>747</v>
      </c>
      <c r="BT7" t="s">
        <v>751</v>
      </c>
      <c r="BU7" t="s">
        <v>762</v>
      </c>
      <c r="BV7" t="s">
        <v>765</v>
      </c>
      <c r="BX7" t="s">
        <v>779</v>
      </c>
      <c r="BZ7" t="s">
        <v>779</v>
      </c>
    </row>
    <row r="8" spans="1:81" x14ac:dyDescent="0.35">
      <c r="A8" t="s">
        <v>217</v>
      </c>
      <c r="B8" t="s">
        <v>217</v>
      </c>
      <c r="C8" t="s">
        <v>214</v>
      </c>
      <c r="E8" t="s">
        <v>231</v>
      </c>
      <c r="F8" t="s">
        <v>227</v>
      </c>
      <c r="G8" t="s">
        <v>232</v>
      </c>
      <c r="H8" t="s">
        <v>245</v>
      </c>
      <c r="K8" t="s">
        <v>264</v>
      </c>
      <c r="L8" t="s">
        <v>263</v>
      </c>
      <c r="N8" t="s">
        <v>311</v>
      </c>
      <c r="O8" t="s">
        <v>319</v>
      </c>
      <c r="P8" t="s">
        <v>326</v>
      </c>
      <c r="Q8" t="s">
        <v>334</v>
      </c>
      <c r="U8" t="s">
        <v>357</v>
      </c>
      <c r="V8" t="s">
        <v>378</v>
      </c>
      <c r="W8" t="s">
        <v>386</v>
      </c>
      <c r="Y8" t="s">
        <v>398</v>
      </c>
      <c r="Z8" t="s">
        <v>403</v>
      </c>
      <c r="AA8" t="s">
        <v>424</v>
      </c>
      <c r="AB8" t="s">
        <v>386</v>
      </c>
      <c r="AC8" t="s">
        <v>436</v>
      </c>
      <c r="AD8" t="s">
        <v>457</v>
      </c>
      <c r="AE8" t="s">
        <v>386</v>
      </c>
      <c r="AG8" t="s">
        <v>101</v>
      </c>
      <c r="AH8" t="s">
        <v>377</v>
      </c>
      <c r="AI8" t="s">
        <v>488</v>
      </c>
      <c r="AJ8" t="s">
        <v>509</v>
      </c>
      <c r="AK8" t="s">
        <v>521</v>
      </c>
      <c r="AL8" t="s">
        <v>532</v>
      </c>
      <c r="AP8" t="s">
        <v>180</v>
      </c>
      <c r="AQ8" t="s">
        <v>552</v>
      </c>
      <c r="AR8" t="s">
        <v>569</v>
      </c>
      <c r="AS8" t="s">
        <v>575</v>
      </c>
      <c r="AX8" t="s">
        <v>618</v>
      </c>
      <c r="BB8" t="s">
        <v>639</v>
      </c>
      <c r="BE8" t="s">
        <v>180</v>
      </c>
      <c r="BG8" t="s">
        <v>660</v>
      </c>
      <c r="BI8" t="s">
        <v>671</v>
      </c>
      <c r="BK8" t="s">
        <v>76</v>
      </c>
      <c r="BL8" t="s">
        <v>686</v>
      </c>
      <c r="BM8" t="s">
        <v>708</v>
      </c>
      <c r="BP8" t="s">
        <v>724</v>
      </c>
      <c r="BR8" t="s">
        <v>738</v>
      </c>
      <c r="BT8" t="s">
        <v>752</v>
      </c>
      <c r="BV8" t="s">
        <v>766</v>
      </c>
      <c r="BX8" t="s">
        <v>780</v>
      </c>
      <c r="BZ8" t="s">
        <v>780</v>
      </c>
    </row>
    <row r="9" spans="1:81" x14ac:dyDescent="0.35">
      <c r="C9" t="s">
        <v>224</v>
      </c>
      <c r="E9" t="s">
        <v>232</v>
      </c>
      <c r="F9" t="s">
        <v>214</v>
      </c>
      <c r="H9" t="s">
        <v>246</v>
      </c>
      <c r="K9" t="s">
        <v>265</v>
      </c>
      <c r="L9" t="s">
        <v>264</v>
      </c>
      <c r="N9" t="s">
        <v>312</v>
      </c>
      <c r="O9" t="s">
        <v>320</v>
      </c>
      <c r="P9" t="s">
        <v>327</v>
      </c>
      <c r="Q9" t="s">
        <v>335</v>
      </c>
      <c r="U9" t="s">
        <v>358</v>
      </c>
      <c r="V9" t="s">
        <v>379</v>
      </c>
      <c r="W9" t="s">
        <v>387</v>
      </c>
      <c r="Z9" t="s">
        <v>404</v>
      </c>
      <c r="AA9" t="s">
        <v>425</v>
      </c>
      <c r="AB9" t="s">
        <v>387</v>
      </c>
      <c r="AC9" t="s">
        <v>437</v>
      </c>
      <c r="AE9" t="s">
        <v>387</v>
      </c>
      <c r="AG9" t="s">
        <v>462</v>
      </c>
      <c r="AH9" t="s">
        <v>480</v>
      </c>
      <c r="AI9" t="s">
        <v>489</v>
      </c>
      <c r="AJ9" t="s">
        <v>510</v>
      </c>
      <c r="AK9" t="s">
        <v>522</v>
      </c>
      <c r="AL9" t="s">
        <v>533</v>
      </c>
      <c r="AQ9" t="s">
        <v>553</v>
      </c>
      <c r="AS9" t="s">
        <v>576</v>
      </c>
      <c r="AX9" t="s">
        <v>619</v>
      </c>
      <c r="BB9" t="s">
        <v>640</v>
      </c>
      <c r="BE9" t="s">
        <v>250</v>
      </c>
      <c r="BG9" t="s">
        <v>661</v>
      </c>
      <c r="BI9" t="s">
        <v>672</v>
      </c>
      <c r="BK9" t="s">
        <v>75</v>
      </c>
      <c r="BL9" t="s">
        <v>687</v>
      </c>
      <c r="BM9" t="s">
        <v>709</v>
      </c>
      <c r="BP9" t="s">
        <v>725</v>
      </c>
      <c r="BR9" t="s">
        <v>739</v>
      </c>
      <c r="BT9" t="s">
        <v>753</v>
      </c>
      <c r="BV9" t="s">
        <v>767</v>
      </c>
      <c r="BX9" t="s">
        <v>781</v>
      </c>
      <c r="BZ9" t="s">
        <v>781</v>
      </c>
    </row>
    <row r="10" spans="1:81" x14ac:dyDescent="0.35">
      <c r="C10" t="s">
        <v>217</v>
      </c>
      <c r="E10" t="s">
        <v>227</v>
      </c>
      <c r="F10" t="s">
        <v>222</v>
      </c>
      <c r="H10" t="s">
        <v>247</v>
      </c>
      <c r="K10" t="s">
        <v>266</v>
      </c>
      <c r="L10" t="s">
        <v>265</v>
      </c>
      <c r="N10" t="s">
        <v>313</v>
      </c>
      <c r="O10" t="s">
        <v>321</v>
      </c>
      <c r="P10" t="s">
        <v>328</v>
      </c>
      <c r="U10" t="s">
        <v>359</v>
      </c>
      <c r="V10" t="s">
        <v>380</v>
      </c>
      <c r="W10" t="s">
        <v>388</v>
      </c>
      <c r="Z10" t="s">
        <v>405</v>
      </c>
      <c r="AA10" t="s">
        <v>426</v>
      </c>
      <c r="AB10" t="s">
        <v>388</v>
      </c>
      <c r="AC10" t="s">
        <v>438</v>
      </c>
      <c r="AE10" t="s">
        <v>388</v>
      </c>
      <c r="AG10" t="s">
        <v>463</v>
      </c>
      <c r="AH10" t="s">
        <v>481</v>
      </c>
      <c r="AI10" t="s">
        <v>490</v>
      </c>
      <c r="AJ10" t="s">
        <v>511</v>
      </c>
      <c r="AK10" t="s">
        <v>523</v>
      </c>
      <c r="AL10" t="s">
        <v>534</v>
      </c>
      <c r="AQ10" t="s">
        <v>554</v>
      </c>
      <c r="AS10" t="s">
        <v>577</v>
      </c>
      <c r="AX10" t="s">
        <v>620</v>
      </c>
      <c r="BB10" t="s">
        <v>641</v>
      </c>
      <c r="BG10" t="s">
        <v>662</v>
      </c>
      <c r="BI10" t="s">
        <v>673</v>
      </c>
      <c r="BK10" t="s">
        <v>74</v>
      </c>
      <c r="BL10" t="s">
        <v>688</v>
      </c>
      <c r="BM10" t="s">
        <v>710</v>
      </c>
      <c r="BP10" t="s">
        <v>726</v>
      </c>
      <c r="BR10" t="s">
        <v>740</v>
      </c>
      <c r="BT10" t="s">
        <v>754</v>
      </c>
      <c r="BV10" t="s">
        <v>768</v>
      </c>
      <c r="BX10" t="s">
        <v>782</v>
      </c>
      <c r="BZ10" t="s">
        <v>782</v>
      </c>
    </row>
    <row r="11" spans="1:81" x14ac:dyDescent="0.35">
      <c r="E11" t="s">
        <v>233</v>
      </c>
      <c r="F11" t="s">
        <v>232</v>
      </c>
      <c r="H11" t="s">
        <v>248</v>
      </c>
      <c r="K11" t="s">
        <v>267</v>
      </c>
      <c r="L11" t="s">
        <v>266</v>
      </c>
      <c r="N11" t="s">
        <v>239</v>
      </c>
      <c r="U11" t="s">
        <v>360</v>
      </c>
      <c r="W11" t="s">
        <v>389</v>
      </c>
      <c r="Z11" t="s">
        <v>406</v>
      </c>
      <c r="AB11" t="s">
        <v>389</v>
      </c>
      <c r="AC11" t="s">
        <v>439</v>
      </c>
      <c r="AE11" t="s">
        <v>389</v>
      </c>
      <c r="AG11" t="s">
        <v>464</v>
      </c>
      <c r="AH11" t="s">
        <v>482</v>
      </c>
      <c r="AI11" t="s">
        <v>491</v>
      </c>
      <c r="AJ11" t="s">
        <v>512</v>
      </c>
      <c r="AK11" t="s">
        <v>524</v>
      </c>
      <c r="AL11" t="s">
        <v>535</v>
      </c>
      <c r="AQ11" t="s">
        <v>555</v>
      </c>
      <c r="AS11" t="s">
        <v>578</v>
      </c>
      <c r="AX11" t="s">
        <v>621</v>
      </c>
      <c r="BB11" t="s">
        <v>642</v>
      </c>
      <c r="BG11" t="s">
        <v>663</v>
      </c>
      <c r="BI11" t="s">
        <v>674</v>
      </c>
      <c r="BK11" t="s">
        <v>681</v>
      </c>
      <c r="BL11" t="s">
        <v>689</v>
      </c>
      <c r="BM11" t="s">
        <v>711</v>
      </c>
      <c r="BP11" t="s">
        <v>727</v>
      </c>
      <c r="BR11" t="s">
        <v>741</v>
      </c>
      <c r="BT11" t="s">
        <v>755</v>
      </c>
      <c r="BV11" t="s">
        <v>769</v>
      </c>
      <c r="BX11" t="s">
        <v>783</v>
      </c>
      <c r="BZ11" t="s">
        <v>783</v>
      </c>
    </row>
    <row r="12" spans="1:81" x14ac:dyDescent="0.35">
      <c r="E12" t="s">
        <v>222</v>
      </c>
      <c r="H12" t="s">
        <v>249</v>
      </c>
      <c r="K12" t="s">
        <v>268</v>
      </c>
      <c r="L12" t="s">
        <v>267</v>
      </c>
      <c r="U12" t="s">
        <v>361</v>
      </c>
      <c r="Z12" t="s">
        <v>407</v>
      </c>
      <c r="AB12" t="s">
        <v>428</v>
      </c>
      <c r="AC12" t="s">
        <v>440</v>
      </c>
      <c r="AE12" t="s">
        <v>428</v>
      </c>
      <c r="AG12" t="s">
        <v>465</v>
      </c>
      <c r="AI12" t="s">
        <v>492</v>
      </c>
      <c r="AJ12" t="s">
        <v>513</v>
      </c>
      <c r="AK12" t="s">
        <v>525</v>
      </c>
      <c r="AL12" t="s">
        <v>536</v>
      </c>
      <c r="AQ12" t="s">
        <v>556</v>
      </c>
      <c r="AS12" t="s">
        <v>579</v>
      </c>
      <c r="AX12" t="s">
        <v>622</v>
      </c>
      <c r="BB12" t="s">
        <v>643</v>
      </c>
      <c r="BI12" t="s">
        <v>675</v>
      </c>
      <c r="BL12" t="s">
        <v>690</v>
      </c>
      <c r="BM12" t="s">
        <v>712</v>
      </c>
      <c r="BP12" t="s">
        <v>728</v>
      </c>
      <c r="BR12" t="s">
        <v>742</v>
      </c>
      <c r="BT12" t="s">
        <v>756</v>
      </c>
      <c r="BV12" t="s">
        <v>770</v>
      </c>
      <c r="BX12" t="s">
        <v>784</v>
      </c>
      <c r="BZ12" t="s">
        <v>784</v>
      </c>
    </row>
    <row r="13" spans="1:81" x14ac:dyDescent="0.35">
      <c r="E13" t="s">
        <v>217</v>
      </c>
      <c r="H13" t="s">
        <v>250</v>
      </c>
      <c r="K13" t="s">
        <v>269</v>
      </c>
      <c r="L13" t="s">
        <v>268</v>
      </c>
      <c r="U13" t="s">
        <v>362</v>
      </c>
      <c r="Z13" t="s">
        <v>408</v>
      </c>
      <c r="AB13" t="s">
        <v>429</v>
      </c>
      <c r="AC13" t="s">
        <v>441</v>
      </c>
      <c r="AG13" t="s">
        <v>466</v>
      </c>
      <c r="AI13" t="s">
        <v>493</v>
      </c>
      <c r="AJ13" t="s">
        <v>514</v>
      </c>
      <c r="AK13" t="s">
        <v>526</v>
      </c>
      <c r="AQ13" t="s">
        <v>557</v>
      </c>
      <c r="AS13" t="s">
        <v>580</v>
      </c>
      <c r="AX13" t="s">
        <v>623</v>
      </c>
      <c r="BB13" t="s">
        <v>644</v>
      </c>
      <c r="BI13" t="s">
        <v>676</v>
      </c>
      <c r="BL13" t="s">
        <v>691</v>
      </c>
      <c r="BM13" t="s">
        <v>713</v>
      </c>
      <c r="BP13" t="s">
        <v>729</v>
      </c>
      <c r="BR13" t="s">
        <v>743</v>
      </c>
      <c r="BT13" t="s">
        <v>757</v>
      </c>
      <c r="BV13" t="s">
        <v>771</v>
      </c>
      <c r="BX13" t="s">
        <v>785</v>
      </c>
      <c r="BZ13" t="s">
        <v>785</v>
      </c>
    </row>
    <row r="14" spans="1:81" x14ac:dyDescent="0.35">
      <c r="K14" t="s">
        <v>270</v>
      </c>
      <c r="L14" t="s">
        <v>269</v>
      </c>
      <c r="U14" t="s">
        <v>363</v>
      </c>
      <c r="Z14" t="s">
        <v>409</v>
      </c>
      <c r="AC14" t="s">
        <v>442</v>
      </c>
      <c r="AG14" t="s">
        <v>467</v>
      </c>
      <c r="AI14" t="s">
        <v>494</v>
      </c>
      <c r="AJ14" t="s">
        <v>515</v>
      </c>
      <c r="AQ14" t="s">
        <v>558</v>
      </c>
      <c r="AS14" t="s">
        <v>581</v>
      </c>
      <c r="BL14" t="s">
        <v>692</v>
      </c>
    </row>
    <row r="15" spans="1:81" x14ac:dyDescent="0.35">
      <c r="K15" t="s">
        <v>271</v>
      </c>
      <c r="L15" t="s">
        <v>270</v>
      </c>
      <c r="U15" t="s">
        <v>364</v>
      </c>
      <c r="Z15" t="s">
        <v>410</v>
      </c>
      <c r="AC15" t="s">
        <v>443</v>
      </c>
      <c r="AG15" t="s">
        <v>468</v>
      </c>
      <c r="AI15" t="s">
        <v>495</v>
      </c>
      <c r="AJ15" t="s">
        <v>516</v>
      </c>
      <c r="AQ15" t="s">
        <v>559</v>
      </c>
      <c r="AS15" t="s">
        <v>582</v>
      </c>
      <c r="BL15" t="s">
        <v>693</v>
      </c>
    </row>
    <row r="16" spans="1:81" x14ac:dyDescent="0.35">
      <c r="K16" t="s">
        <v>272</v>
      </c>
      <c r="L16" t="s">
        <v>271</v>
      </c>
      <c r="U16" t="s">
        <v>365</v>
      </c>
      <c r="Z16" t="s">
        <v>411</v>
      </c>
      <c r="AC16" t="s">
        <v>444</v>
      </c>
      <c r="AG16" t="s">
        <v>469</v>
      </c>
      <c r="AI16" t="s">
        <v>496</v>
      </c>
      <c r="AQ16" t="s">
        <v>560</v>
      </c>
      <c r="AS16" t="s">
        <v>583</v>
      </c>
      <c r="BL16" t="s">
        <v>694</v>
      </c>
    </row>
    <row r="17" spans="11:64" x14ac:dyDescent="0.35">
      <c r="K17" t="s">
        <v>273</v>
      </c>
      <c r="L17" t="s">
        <v>272</v>
      </c>
      <c r="U17" t="s">
        <v>366</v>
      </c>
      <c r="Z17" t="s">
        <v>412</v>
      </c>
      <c r="AC17" t="s">
        <v>445</v>
      </c>
      <c r="AG17" t="s">
        <v>470</v>
      </c>
      <c r="AI17" t="s">
        <v>497</v>
      </c>
      <c r="AQ17" t="s">
        <v>561</v>
      </c>
      <c r="AS17" t="s">
        <v>584</v>
      </c>
      <c r="BL17" t="s">
        <v>695</v>
      </c>
    </row>
    <row r="18" spans="11:64" x14ac:dyDescent="0.35">
      <c r="K18" t="s">
        <v>274</v>
      </c>
      <c r="L18" t="s">
        <v>294</v>
      </c>
      <c r="U18" t="s">
        <v>367</v>
      </c>
      <c r="Z18" t="s">
        <v>413</v>
      </c>
      <c r="AC18" t="s">
        <v>446</v>
      </c>
      <c r="AG18" t="s">
        <v>471</v>
      </c>
      <c r="AI18" t="s">
        <v>498</v>
      </c>
      <c r="AQ18" t="s">
        <v>562</v>
      </c>
      <c r="AS18" t="s">
        <v>585</v>
      </c>
      <c r="BL18" t="s">
        <v>696</v>
      </c>
    </row>
    <row r="19" spans="11:64" x14ac:dyDescent="0.35">
      <c r="K19" t="s">
        <v>275</v>
      </c>
      <c r="L19" t="s">
        <v>273</v>
      </c>
      <c r="U19" t="s">
        <v>368</v>
      </c>
      <c r="Z19" t="s">
        <v>414</v>
      </c>
      <c r="AC19" t="s">
        <v>447</v>
      </c>
      <c r="AG19" t="s">
        <v>472</v>
      </c>
      <c r="AI19" t="s">
        <v>499</v>
      </c>
      <c r="AQ19" t="s">
        <v>563</v>
      </c>
      <c r="AS19" t="s">
        <v>586</v>
      </c>
      <c r="BL19" t="s">
        <v>697</v>
      </c>
    </row>
    <row r="20" spans="11:64" x14ac:dyDescent="0.35">
      <c r="K20" t="s">
        <v>276</v>
      </c>
      <c r="L20" t="s">
        <v>295</v>
      </c>
      <c r="U20" t="s">
        <v>369</v>
      </c>
      <c r="Z20" t="s">
        <v>415</v>
      </c>
      <c r="AC20" t="s">
        <v>448</v>
      </c>
      <c r="AG20" t="s">
        <v>473</v>
      </c>
      <c r="AI20" t="s">
        <v>500</v>
      </c>
      <c r="AS20" t="s">
        <v>587</v>
      </c>
      <c r="BL20" t="s">
        <v>698</v>
      </c>
    </row>
    <row r="21" spans="11:64" x14ac:dyDescent="0.35">
      <c r="K21" t="s">
        <v>277</v>
      </c>
      <c r="L21" t="s">
        <v>274</v>
      </c>
      <c r="U21" t="s">
        <v>370</v>
      </c>
      <c r="Z21" t="s">
        <v>416</v>
      </c>
      <c r="AC21" t="s">
        <v>449</v>
      </c>
      <c r="AG21" t="s">
        <v>474</v>
      </c>
      <c r="AI21" t="s">
        <v>501</v>
      </c>
      <c r="AS21" t="s">
        <v>588</v>
      </c>
      <c r="BL21" t="s">
        <v>699</v>
      </c>
    </row>
    <row r="22" spans="11:64" x14ac:dyDescent="0.35">
      <c r="K22" t="s">
        <v>278</v>
      </c>
      <c r="L22" t="s">
        <v>275</v>
      </c>
      <c r="U22" t="s">
        <v>371</v>
      </c>
      <c r="Z22" t="s">
        <v>417</v>
      </c>
      <c r="AC22" t="s">
        <v>450</v>
      </c>
      <c r="AG22" t="s">
        <v>475</v>
      </c>
      <c r="AI22" t="s">
        <v>502</v>
      </c>
      <c r="AS22" t="s">
        <v>589</v>
      </c>
      <c r="BL22" t="s">
        <v>700</v>
      </c>
    </row>
    <row r="23" spans="11:64" x14ac:dyDescent="0.35">
      <c r="K23" t="s">
        <v>279</v>
      </c>
      <c r="L23" t="s">
        <v>276</v>
      </c>
      <c r="U23" t="s">
        <v>372</v>
      </c>
      <c r="Z23" t="s">
        <v>418</v>
      </c>
      <c r="AC23" t="s">
        <v>451</v>
      </c>
      <c r="AG23" t="s">
        <v>476</v>
      </c>
      <c r="AI23" t="s">
        <v>503</v>
      </c>
      <c r="AS23" t="s">
        <v>590</v>
      </c>
      <c r="BL23" t="s">
        <v>701</v>
      </c>
    </row>
    <row r="24" spans="11:64" x14ac:dyDescent="0.35">
      <c r="K24" t="s">
        <v>280</v>
      </c>
      <c r="L24" t="s">
        <v>277</v>
      </c>
      <c r="AS24" t="s">
        <v>591</v>
      </c>
      <c r="BL24" t="s">
        <v>702</v>
      </c>
    </row>
    <row r="25" spans="11:64" x14ac:dyDescent="0.35">
      <c r="K25" t="s">
        <v>281</v>
      </c>
      <c r="L25" t="s">
        <v>278</v>
      </c>
      <c r="AS25" t="s">
        <v>592</v>
      </c>
    </row>
    <row r="26" spans="11:64" x14ac:dyDescent="0.35">
      <c r="K26" t="s">
        <v>282</v>
      </c>
      <c r="L26" t="s">
        <v>279</v>
      </c>
      <c r="AS26" t="s">
        <v>593</v>
      </c>
    </row>
    <row r="27" spans="11:64" x14ac:dyDescent="0.35">
      <c r="K27" t="s">
        <v>283</v>
      </c>
      <c r="L27" t="s">
        <v>280</v>
      </c>
      <c r="AS27" t="s">
        <v>594</v>
      </c>
    </row>
    <row r="28" spans="11:64" x14ac:dyDescent="0.35">
      <c r="K28" t="s">
        <v>284</v>
      </c>
      <c r="L28" t="s">
        <v>296</v>
      </c>
      <c r="AS28" t="s">
        <v>595</v>
      </c>
    </row>
    <row r="29" spans="11:64" x14ac:dyDescent="0.35">
      <c r="K29" t="s">
        <v>285</v>
      </c>
      <c r="L29" t="s">
        <v>297</v>
      </c>
      <c r="AS29" t="s">
        <v>596</v>
      </c>
    </row>
    <row r="30" spans="11:64" x14ac:dyDescent="0.35">
      <c r="K30" t="s">
        <v>286</v>
      </c>
      <c r="L30" t="s">
        <v>281</v>
      </c>
      <c r="AS30" t="s">
        <v>597</v>
      </c>
    </row>
    <row r="31" spans="11:64" x14ac:dyDescent="0.35">
      <c r="K31" t="s">
        <v>287</v>
      </c>
      <c r="L31" t="s">
        <v>298</v>
      </c>
      <c r="AS31" t="s">
        <v>598</v>
      </c>
    </row>
    <row r="32" spans="11:64" x14ac:dyDescent="0.35">
      <c r="K32" t="s">
        <v>288</v>
      </c>
      <c r="L32" t="s">
        <v>282</v>
      </c>
    </row>
    <row r="33" spans="11:12" x14ac:dyDescent="0.35">
      <c r="K33" t="s">
        <v>289</v>
      </c>
      <c r="L33" t="s">
        <v>283</v>
      </c>
    </row>
    <row r="34" spans="11:12" x14ac:dyDescent="0.35">
      <c r="K34" t="s">
        <v>290</v>
      </c>
      <c r="L34" t="s">
        <v>284</v>
      </c>
    </row>
    <row r="35" spans="11:12" x14ac:dyDescent="0.35">
      <c r="K35" t="s">
        <v>291</v>
      </c>
      <c r="L35" t="s">
        <v>285</v>
      </c>
    </row>
    <row r="36" spans="11:12" x14ac:dyDescent="0.35">
      <c r="L36" t="s">
        <v>286</v>
      </c>
    </row>
    <row r="37" spans="11:12" x14ac:dyDescent="0.35">
      <c r="L37" t="s">
        <v>287</v>
      </c>
    </row>
    <row r="38" spans="11:12" x14ac:dyDescent="0.35">
      <c r="L38" t="s">
        <v>299</v>
      </c>
    </row>
    <row r="39" spans="11:12" x14ac:dyDescent="0.35">
      <c r="L39" t="s">
        <v>288</v>
      </c>
    </row>
    <row r="40" spans="11:12" x14ac:dyDescent="0.35">
      <c r="L40" t="s">
        <v>289</v>
      </c>
    </row>
    <row r="41" spans="11:12" x14ac:dyDescent="0.35">
      <c r="L41" t="s">
        <v>290</v>
      </c>
    </row>
    <row r="42" spans="11:12" x14ac:dyDescent="0.35">
      <c r="L42" t="s">
        <v>300</v>
      </c>
    </row>
    <row r="43" spans="11:12" x14ac:dyDescent="0.35">
      <c r="L43" t="s">
        <v>291</v>
      </c>
    </row>
  </sheetData>
  <conditionalFormatting sqref="B1">
    <cfRule type="containsBlanks" dxfId="1" priority="2">
      <formula>LEN(TRIM(B1))=0</formula>
    </cfRule>
  </conditionalFormatting>
  <conditionalFormatting sqref="D1">
    <cfRule type="containsBlanks" dxfId="0" priority="1">
      <formula>LEN(TRIM(D1))=0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629C-018A-4673-B48C-4D5AAEB4DBC3}">
  <dimension ref="A1:B200"/>
  <sheetViews>
    <sheetView zoomScaleNormal="100" workbookViewId="0"/>
  </sheetViews>
  <sheetFormatPr defaultRowHeight="14.5" x14ac:dyDescent="0.35"/>
  <cols>
    <col min="2" max="2" width="13.81640625" customWidth="1"/>
  </cols>
  <sheetData>
    <row r="1" spans="1:2" x14ac:dyDescent="0.35">
      <c r="A1" s="66" t="str">
        <f>IF(AND('Dächer und Decken'!A11&lt;&gt;"",LEN('Dächer und Decken'!A11)&lt;10),'Dächer und Decken'!A11,"")</f>
        <v/>
      </c>
      <c r="B1" t="str">
        <f t="array" ref="B1">IF(ROWS(B$1:B1)&gt;SUMPRODUCT(--(A:A&lt;&gt;"")),"",INDEX(A:A,SMALL(IF(A$1:A$200&lt;&gt;"",ROW(A$1:A$200)),ROWS(B$1:B1))))</f>
        <v/>
      </c>
    </row>
    <row r="2" spans="1:2" x14ac:dyDescent="0.35">
      <c r="A2" s="66" t="str">
        <f>IF(AND('Dächer und Decken'!A12&lt;&gt;"",LEN('Dächer und Decken'!A12)&lt;10),'Dächer und Decken'!A12,"")</f>
        <v/>
      </c>
      <c r="B2" s="66" t="str">
        <f t="array" ref="B2">IF(ROWS(B$1:B2)&gt;SUMPRODUCT(--(A:A&lt;&gt;"")),"",INDEX(A:A,SMALL(IF(A$1:A$200&lt;&gt;"",ROW(A$1:A$200)),ROWS(B$1:B2))))</f>
        <v/>
      </c>
    </row>
    <row r="3" spans="1:2" x14ac:dyDescent="0.35">
      <c r="A3" s="66" t="str">
        <f>IF(AND('Dächer und Decken'!A13&lt;&gt;"",LEN('Dächer und Decken'!A13)&lt;10),'Dächer und Decken'!A13,"")</f>
        <v/>
      </c>
      <c r="B3" s="66" t="str">
        <f t="array" ref="B3">IF(ROWS(B$1:B3)&gt;SUMPRODUCT(--(A:A&lt;&gt;"")),"",INDEX(A:A,SMALL(IF(A$1:A$200&lt;&gt;"",ROW(A$1:A$200)),ROWS(B$1:B3))))</f>
        <v/>
      </c>
    </row>
    <row r="4" spans="1:2" x14ac:dyDescent="0.35">
      <c r="A4" s="66" t="str">
        <f>IF(AND('Dächer und Decken'!A14&lt;&gt;"",LEN('Dächer und Decken'!A14)&lt;10),'Dächer und Decken'!A14,"")</f>
        <v/>
      </c>
      <c r="B4" s="66" t="str">
        <f t="array" ref="B4">IF(ROWS(B$1:B4)&gt;SUMPRODUCT(--(A:A&lt;&gt;"")),"",INDEX(A:A,SMALL(IF(A$1:A$200&lt;&gt;"",ROW(A$1:A$200)),ROWS(B$1:B4))))</f>
        <v/>
      </c>
    </row>
    <row r="5" spans="1:2" x14ac:dyDescent="0.35">
      <c r="A5" s="66" t="str">
        <f>IF(AND('Dächer und Decken'!A15&lt;&gt;"",LEN('Dächer und Decken'!A15)&lt;10),'Dächer und Decken'!A15,"")</f>
        <v/>
      </c>
      <c r="B5" s="66" t="str">
        <f t="array" ref="B5">IF(ROWS(B$1:B5)&gt;SUMPRODUCT(--(A:A&lt;&gt;"")),"",INDEX(A:A,SMALL(IF(A$1:A$200&lt;&gt;"",ROW(A$1:A$200)),ROWS(B$1:B5))))</f>
        <v/>
      </c>
    </row>
    <row r="6" spans="1:2" x14ac:dyDescent="0.35">
      <c r="A6" s="66" t="str">
        <f>IF(AND('Dächer und Decken'!A16&lt;&gt;"",LEN('Dächer und Decken'!A16)&lt;10),'Dächer und Decken'!A16,"")</f>
        <v/>
      </c>
      <c r="B6" s="66" t="str">
        <f t="array" ref="B6">IF(ROWS(B$1:B6)&gt;SUMPRODUCT(--(A:A&lt;&gt;"")),"",INDEX(A:A,SMALL(IF(A$1:A$200&lt;&gt;"",ROW(A$1:A$200)),ROWS(B$1:B6))))</f>
        <v/>
      </c>
    </row>
    <row r="7" spans="1:2" x14ac:dyDescent="0.35">
      <c r="A7" s="66" t="str">
        <f>IF(AND('Dächer und Decken'!A17&lt;&gt;"",LEN('Dächer und Decken'!A17)&lt;10),'Dächer und Decken'!A17,"")</f>
        <v/>
      </c>
      <c r="B7" s="66" t="str">
        <f t="array" ref="B7">IF(ROWS(B$1:B7)&gt;SUMPRODUCT(--(A:A&lt;&gt;"")),"",INDEX(A:A,SMALL(IF(A$1:A$200&lt;&gt;"",ROW(A$1:A$200)),ROWS(B$1:B7))))</f>
        <v/>
      </c>
    </row>
    <row r="8" spans="1:2" x14ac:dyDescent="0.35">
      <c r="A8" s="66" t="str">
        <f>IF(AND('Dächer und Decken'!A18&lt;&gt;"",LEN('Dächer und Decken'!A18)&lt;10),'Dächer und Decken'!A18,"")</f>
        <v/>
      </c>
      <c r="B8" s="66" t="str">
        <f t="array" ref="B8">IF(ROWS(B$1:B8)&gt;SUMPRODUCT(--(A:A&lt;&gt;"")),"",INDEX(A:A,SMALL(IF(A$1:A$200&lt;&gt;"",ROW(A$1:A$200)),ROWS(B$1:B8))))</f>
        <v/>
      </c>
    </row>
    <row r="9" spans="1:2" x14ac:dyDescent="0.35">
      <c r="A9" s="66" t="str">
        <f>IF(AND('Dächer und Decken'!A19&lt;&gt;"",LEN('Dächer und Decken'!A19)&lt;10),'Dächer und Decken'!A19,"")</f>
        <v/>
      </c>
      <c r="B9" s="66" t="str">
        <f t="array" ref="B9">IF(ROWS(B$1:B9)&gt;SUMPRODUCT(--(A:A&lt;&gt;"")),"",INDEX(A:A,SMALL(IF(A$1:A$200&lt;&gt;"",ROW(A$1:A$200)),ROWS(B$1:B9))))</f>
        <v/>
      </c>
    </row>
    <row r="10" spans="1:2" x14ac:dyDescent="0.35">
      <c r="A10" s="66" t="str">
        <f>IF(AND('Dächer und Decken'!A20&lt;&gt;"",LEN('Dächer und Decken'!A20)&lt;10),'Dächer und Decken'!A20,"")</f>
        <v/>
      </c>
      <c r="B10" s="66" t="str">
        <f t="array" ref="B10">IF(ROWS(B$1:B10)&gt;SUMPRODUCT(--(A:A&lt;&gt;"")),"",INDEX(A:A,SMALL(IF(A$1:A$200&lt;&gt;"",ROW(A$1:A$200)),ROWS(B$1:B10))))</f>
        <v/>
      </c>
    </row>
    <row r="11" spans="1:2" x14ac:dyDescent="0.35">
      <c r="A11" s="66" t="str">
        <f>IF(AND('Dächer und Decken'!A21&lt;&gt;"",LEN('Dächer und Decken'!A21)&lt;10),'Dächer und Decken'!A21,"")</f>
        <v/>
      </c>
      <c r="B11" s="66" t="str">
        <f t="array" ref="B11">IF(ROWS(B$1:B11)&gt;SUMPRODUCT(--(A:A&lt;&gt;"")),"",INDEX(A:A,SMALL(IF(A$1:A$200&lt;&gt;"",ROW(A$1:A$200)),ROWS(B$1:B11))))</f>
        <v/>
      </c>
    </row>
    <row r="12" spans="1:2" x14ac:dyDescent="0.35">
      <c r="A12" s="66" t="str">
        <f>IF(AND('Dächer und Decken'!A22&lt;&gt;"",LEN('Dächer und Decken'!A22)&lt;10),'Dächer und Decken'!A22,"")</f>
        <v/>
      </c>
      <c r="B12" s="66" t="str">
        <f t="array" ref="B12">IF(ROWS(B$1:B12)&gt;SUMPRODUCT(--(A:A&lt;&gt;"")),"",INDEX(A:A,SMALL(IF(A$1:A$200&lt;&gt;"",ROW(A$1:A$200)),ROWS(B$1:B12))))</f>
        <v/>
      </c>
    </row>
    <row r="13" spans="1:2" x14ac:dyDescent="0.35">
      <c r="A13" s="66" t="str">
        <f>IF(AND('Dächer und Decken'!A23&lt;&gt;"",LEN('Dächer und Decken'!A23)&lt;10),'Dächer und Decken'!A23,"")</f>
        <v/>
      </c>
      <c r="B13" s="66" t="str">
        <f t="array" ref="B13">IF(ROWS(B$1:B13)&gt;SUMPRODUCT(--(A:A&lt;&gt;"")),"",INDEX(A:A,SMALL(IF(A$1:A$200&lt;&gt;"",ROW(A$1:A$200)),ROWS(B$1:B13))))</f>
        <v/>
      </c>
    </row>
    <row r="14" spans="1:2" x14ac:dyDescent="0.35">
      <c r="A14" s="66" t="str">
        <f>IF(AND('Dächer und Decken'!A24&lt;&gt;"",LEN('Dächer und Decken'!A24)&lt;10),'Dächer und Decken'!A24,"")</f>
        <v/>
      </c>
      <c r="B14" s="66" t="str">
        <f t="array" ref="B14">IF(ROWS(B$1:B14)&gt;SUMPRODUCT(--(A:A&lt;&gt;"")),"",INDEX(A:A,SMALL(IF(A$1:A$200&lt;&gt;"",ROW(A$1:A$200)),ROWS(B$1:B14))))</f>
        <v/>
      </c>
    </row>
    <row r="15" spans="1:2" x14ac:dyDescent="0.35">
      <c r="A15" s="66" t="str">
        <f>IF(AND('Dächer und Decken'!A25&lt;&gt;"",LEN('Dächer und Decken'!A25)&lt;10),'Dächer und Decken'!A25,"")</f>
        <v/>
      </c>
      <c r="B15" s="66" t="str">
        <f t="array" ref="B15">IF(ROWS(B$1:B15)&gt;SUMPRODUCT(--(A:A&lt;&gt;"")),"",INDEX(A:A,SMALL(IF(A$1:A$200&lt;&gt;"",ROW(A$1:A$200)),ROWS(B$1:B15))))</f>
        <v/>
      </c>
    </row>
    <row r="16" spans="1:2" x14ac:dyDescent="0.35">
      <c r="A16" s="66" t="str">
        <f>IF(AND('Dächer und Decken'!A26&lt;&gt;"",LEN('Dächer und Decken'!A26)&lt;10),'Dächer und Decken'!A26,"")</f>
        <v/>
      </c>
      <c r="B16" s="66" t="str">
        <f t="array" ref="B16">IF(ROWS(B$1:B16)&gt;SUMPRODUCT(--(A:A&lt;&gt;"")),"",INDEX(A:A,SMALL(IF(A$1:A$200&lt;&gt;"",ROW(A$1:A$200)),ROWS(B$1:B16))))</f>
        <v/>
      </c>
    </row>
    <row r="17" spans="1:2" x14ac:dyDescent="0.35">
      <c r="A17" s="66" t="str">
        <f>IF(AND('Dächer und Decken'!A27&lt;&gt;"",LEN('Dächer und Decken'!A27)&lt;10),'Dächer und Decken'!A27,"")</f>
        <v/>
      </c>
      <c r="B17" s="66" t="str">
        <f t="array" ref="B17">IF(ROWS(B$1:B17)&gt;SUMPRODUCT(--(A:A&lt;&gt;"")),"",INDEX(A:A,SMALL(IF(A$1:A$200&lt;&gt;"",ROW(A$1:A$200)),ROWS(B$1:B17))))</f>
        <v/>
      </c>
    </row>
    <row r="18" spans="1:2" x14ac:dyDescent="0.35">
      <c r="A18" s="66" t="str">
        <f>IF(AND('Dächer und Decken'!A28&lt;&gt;"",LEN('Dächer und Decken'!A28)&lt;10),'Dächer und Decken'!A28,"")</f>
        <v/>
      </c>
      <c r="B18" s="66" t="str">
        <f t="array" ref="B18">IF(ROWS(B$1:B18)&gt;SUMPRODUCT(--(A:A&lt;&gt;"")),"",INDEX(A:A,SMALL(IF(A$1:A$200&lt;&gt;"",ROW(A$1:A$200)),ROWS(B$1:B18))))</f>
        <v/>
      </c>
    </row>
    <row r="19" spans="1:2" x14ac:dyDescent="0.35">
      <c r="A19" s="66" t="str">
        <f>IF(AND('Dächer und Decken'!A29&lt;&gt;"",LEN('Dächer und Decken'!A29)&lt;10),'Dächer und Decken'!A29,"")</f>
        <v/>
      </c>
      <c r="B19" s="66" t="str">
        <f t="array" ref="B19">IF(ROWS(B$1:B19)&gt;SUMPRODUCT(--(A:A&lt;&gt;"")),"",INDEX(A:A,SMALL(IF(A$1:A$200&lt;&gt;"",ROW(A$1:A$200)),ROWS(B$1:B19))))</f>
        <v/>
      </c>
    </row>
    <row r="20" spans="1:2" x14ac:dyDescent="0.35">
      <c r="A20" s="66" t="str">
        <f>IF(AND('Dächer und Decken'!A30&lt;&gt;"",LEN('Dächer und Decken'!A30)&lt;10),'Dächer und Decken'!A30,"")</f>
        <v/>
      </c>
      <c r="B20" s="66" t="str">
        <f t="array" ref="B20">IF(ROWS(B$1:B20)&gt;SUMPRODUCT(--(A:A&lt;&gt;"")),"",INDEX(A:A,SMALL(IF(A$1:A$200&lt;&gt;"",ROW(A$1:A$200)),ROWS(B$1:B20))))</f>
        <v/>
      </c>
    </row>
    <row r="21" spans="1:2" x14ac:dyDescent="0.35">
      <c r="A21" s="66" t="str">
        <f>IF(AND('Dächer und Decken'!A31&lt;&gt;"",LEN('Dächer und Decken'!A31)&lt;10),'Dächer und Decken'!A31,"")</f>
        <v/>
      </c>
      <c r="B21" s="66" t="str">
        <f t="array" ref="B21">IF(ROWS(B$1:B21)&gt;SUMPRODUCT(--(A:A&lt;&gt;"")),"",INDEX(A:A,SMALL(IF(A$1:A$200&lt;&gt;"",ROW(A$1:A$200)),ROWS(B$1:B21))))</f>
        <v/>
      </c>
    </row>
    <row r="22" spans="1:2" x14ac:dyDescent="0.35">
      <c r="A22" s="66" t="str">
        <f>IF(AND('Dächer und Decken'!A32&lt;&gt;"",LEN('Dächer und Decken'!A32)&lt;10),'Dächer und Decken'!A32,"")</f>
        <v/>
      </c>
      <c r="B22" s="66" t="str">
        <f t="array" ref="B22">IF(ROWS(B$1:B22)&gt;SUMPRODUCT(--(A:A&lt;&gt;"")),"",INDEX(A:A,SMALL(IF(A$1:A$200&lt;&gt;"",ROW(A$1:A$200)),ROWS(B$1:B22))))</f>
        <v/>
      </c>
    </row>
    <row r="23" spans="1:2" x14ac:dyDescent="0.35">
      <c r="A23" s="66" t="str">
        <f>IF(AND('Dächer und Decken'!A33&lt;&gt;"",LEN('Dächer und Decken'!A33)&lt;10),'Dächer und Decken'!A33,"")</f>
        <v/>
      </c>
      <c r="B23" s="66" t="str">
        <f t="array" ref="B23">IF(ROWS(B$1:B23)&gt;SUMPRODUCT(--(A:A&lt;&gt;"")),"",INDEX(A:A,SMALL(IF(A$1:A$200&lt;&gt;"",ROW(A$1:A$200)),ROWS(B$1:B23))))</f>
        <v/>
      </c>
    </row>
    <row r="24" spans="1:2" x14ac:dyDescent="0.35">
      <c r="A24" s="66" t="str">
        <f>IF(AND('Dächer und Decken'!A34&lt;&gt;"",LEN('Dächer und Decken'!A34)&lt;10),'Dächer und Decken'!A34,"")</f>
        <v/>
      </c>
      <c r="B24" s="66" t="str">
        <f t="array" ref="B24">IF(ROWS(B$1:B24)&gt;SUMPRODUCT(--(A:A&lt;&gt;"")),"",INDEX(A:A,SMALL(IF(A$1:A$200&lt;&gt;"",ROW(A$1:A$200)),ROWS(B$1:B24))))</f>
        <v/>
      </c>
    </row>
    <row r="25" spans="1:2" x14ac:dyDescent="0.35">
      <c r="A25" s="66" t="str">
        <f>IF(AND('Dächer und Decken'!A35&lt;&gt;"",LEN('Dächer und Decken'!A35)&lt;10),'Dächer und Decken'!A35,"")</f>
        <v/>
      </c>
      <c r="B25" s="66" t="str">
        <f t="array" ref="B25">IF(ROWS(B$1:B25)&gt;SUMPRODUCT(--(A:A&lt;&gt;"")),"",INDEX(A:A,SMALL(IF(A$1:A$200&lt;&gt;"",ROW(A$1:A$200)),ROWS(B$1:B25))))</f>
        <v/>
      </c>
    </row>
    <row r="26" spans="1:2" x14ac:dyDescent="0.35">
      <c r="A26" s="66" t="str">
        <f>IF(AND('Dächer und Decken'!A36&lt;&gt;"",LEN('Dächer und Decken'!A36)&lt;10),'Dächer und Decken'!A36,"")</f>
        <v/>
      </c>
      <c r="B26" s="66" t="str">
        <f t="array" ref="B26">IF(ROWS(B$1:B26)&gt;SUMPRODUCT(--(A:A&lt;&gt;"")),"",INDEX(A:A,SMALL(IF(A$1:A$200&lt;&gt;"",ROW(A$1:A$200)),ROWS(B$1:B26))))</f>
        <v/>
      </c>
    </row>
    <row r="27" spans="1:2" x14ac:dyDescent="0.35">
      <c r="A27" s="66" t="str">
        <f>IF(AND('Dächer und Decken'!A37&lt;&gt;"",LEN('Dächer und Decken'!A37)&lt;10),'Dächer und Decken'!A37,"")</f>
        <v/>
      </c>
      <c r="B27" s="66" t="str">
        <f t="array" ref="B27">IF(ROWS(B$1:B27)&gt;SUMPRODUCT(--(A:A&lt;&gt;"")),"",INDEX(A:A,SMALL(IF(A$1:A$200&lt;&gt;"",ROW(A$1:A$200)),ROWS(B$1:B27))))</f>
        <v/>
      </c>
    </row>
    <row r="28" spans="1:2" x14ac:dyDescent="0.35">
      <c r="A28" s="66" t="str">
        <f>IF(AND('Dächer und Decken'!A38&lt;&gt;"",LEN('Dächer und Decken'!A38)&lt;10),'Dächer und Decken'!A38,"")</f>
        <v/>
      </c>
      <c r="B28" s="66" t="str">
        <f t="array" ref="B28">IF(ROWS(B$1:B28)&gt;SUMPRODUCT(--(A:A&lt;&gt;"")),"",INDEX(A:A,SMALL(IF(A$1:A$200&lt;&gt;"",ROW(A$1:A$200)),ROWS(B$1:B28))))</f>
        <v/>
      </c>
    </row>
    <row r="29" spans="1:2" x14ac:dyDescent="0.35">
      <c r="A29" s="66" t="str">
        <f>IF(AND('Dächer und Decken'!A39&lt;&gt;"",LEN('Dächer und Decken'!A39)&lt;10),'Dächer und Decken'!A39,"")</f>
        <v/>
      </c>
      <c r="B29" s="66" t="str">
        <f t="array" ref="B29">IF(ROWS(B$1:B29)&gt;SUMPRODUCT(--(A:A&lt;&gt;"")),"",INDEX(A:A,SMALL(IF(A$1:A$200&lt;&gt;"",ROW(A$1:A$200)),ROWS(B$1:B29))))</f>
        <v/>
      </c>
    </row>
    <row r="30" spans="1:2" x14ac:dyDescent="0.35">
      <c r="A30" s="66" t="str">
        <f>IF(AND('Dächer und Decken'!A40&lt;&gt;"",LEN('Dächer und Decken'!A40)&lt;10),'Dächer und Decken'!A40,"")</f>
        <v/>
      </c>
      <c r="B30" s="66" t="str">
        <f t="array" ref="B30">IF(ROWS(B$1:B30)&gt;SUMPRODUCT(--(A:A&lt;&gt;"")),"",INDEX(A:A,SMALL(IF(A$1:A$200&lt;&gt;"",ROW(A$1:A$200)),ROWS(B$1:B30))))</f>
        <v/>
      </c>
    </row>
    <row r="31" spans="1:2" x14ac:dyDescent="0.35">
      <c r="A31" s="66" t="str">
        <f>IF(AND('Dächer und Decken'!A41&lt;&gt;"",LEN('Dächer und Decken'!A41)&lt;10),'Dächer und Decken'!A41,"")</f>
        <v/>
      </c>
      <c r="B31" s="66" t="str">
        <f t="array" ref="B31">IF(ROWS(B$1:B31)&gt;SUMPRODUCT(--(A:A&lt;&gt;"")),"",INDEX(A:A,SMALL(IF(A$1:A$200&lt;&gt;"",ROW(A$1:A$200)),ROWS(B$1:B31))))</f>
        <v/>
      </c>
    </row>
    <row r="32" spans="1:2" x14ac:dyDescent="0.35">
      <c r="A32" s="66" t="str">
        <f>IF(AND('Dächer und Decken'!A42&lt;&gt;"",LEN('Dächer und Decken'!A42)&lt;10),'Dächer und Decken'!A42,"")</f>
        <v/>
      </c>
      <c r="B32" s="66" t="str">
        <f t="array" ref="B32">IF(ROWS(B$1:B32)&gt;SUMPRODUCT(--(A:A&lt;&gt;"")),"",INDEX(A:A,SMALL(IF(A$1:A$200&lt;&gt;"",ROW(A$1:A$200)),ROWS(B$1:B32))))</f>
        <v/>
      </c>
    </row>
    <row r="33" spans="1:2" x14ac:dyDescent="0.35">
      <c r="A33" s="66" t="str">
        <f>IF(AND('Dächer und Decken'!A43&lt;&gt;"",LEN('Dächer und Decken'!A43)&lt;10),'Dächer und Decken'!A43,"")</f>
        <v/>
      </c>
      <c r="B33" s="66" t="str">
        <f t="array" ref="B33">IF(ROWS(B$1:B33)&gt;SUMPRODUCT(--(A:A&lt;&gt;"")),"",INDEX(A:A,SMALL(IF(A$1:A$200&lt;&gt;"",ROW(A$1:A$200)),ROWS(B$1:B33))))</f>
        <v/>
      </c>
    </row>
    <row r="34" spans="1:2" x14ac:dyDescent="0.35">
      <c r="A34" s="66" t="str">
        <f>IF(AND('Dächer und Decken'!A44&lt;&gt;"",LEN('Dächer und Decken'!A44)&lt;10),'Dächer und Decken'!A44,"")</f>
        <v/>
      </c>
      <c r="B34" s="66" t="str">
        <f t="array" ref="B34">IF(ROWS(B$1:B34)&gt;SUMPRODUCT(--(A:A&lt;&gt;"")),"",INDEX(A:A,SMALL(IF(A$1:A$200&lt;&gt;"",ROW(A$1:A$200)),ROWS(B$1:B34))))</f>
        <v/>
      </c>
    </row>
    <row r="35" spans="1:2" x14ac:dyDescent="0.35">
      <c r="A35" s="66" t="str">
        <f>IF(AND('Dächer und Decken'!A45&lt;&gt;"",LEN('Dächer und Decken'!A45)&lt;10),'Dächer und Decken'!A45,"")</f>
        <v/>
      </c>
      <c r="B35" s="66" t="str">
        <f t="array" ref="B35">IF(ROWS(B$1:B35)&gt;SUMPRODUCT(--(A:A&lt;&gt;"")),"",INDEX(A:A,SMALL(IF(A$1:A$200&lt;&gt;"",ROW(A$1:A$200)),ROWS(B$1:B35))))</f>
        <v/>
      </c>
    </row>
    <row r="36" spans="1:2" x14ac:dyDescent="0.35">
      <c r="A36" s="66" t="str">
        <f>IF(AND('Dächer und Decken'!A46&lt;&gt;"",LEN('Dächer und Decken'!A46)&lt;10),'Dächer und Decken'!A46,"")</f>
        <v/>
      </c>
      <c r="B36" s="66" t="str">
        <f t="array" ref="B36">IF(ROWS(B$1:B36)&gt;SUMPRODUCT(--(A:A&lt;&gt;"")),"",INDEX(A:A,SMALL(IF(A$1:A$200&lt;&gt;"",ROW(A$1:A$200)),ROWS(B$1:B36))))</f>
        <v/>
      </c>
    </row>
    <row r="37" spans="1:2" x14ac:dyDescent="0.35">
      <c r="A37" s="66" t="str">
        <f>IF(AND('Dächer und Decken'!A47&lt;&gt;"",LEN('Dächer und Decken'!A47)&lt;10),'Dächer und Decken'!A47,"")</f>
        <v/>
      </c>
      <c r="B37" s="66" t="str">
        <f t="array" ref="B37">IF(ROWS(B$1:B37)&gt;SUMPRODUCT(--(A:A&lt;&gt;"")),"",INDEX(A:A,SMALL(IF(A$1:A$200&lt;&gt;"",ROW(A$1:A$200)),ROWS(B$1:B37))))</f>
        <v/>
      </c>
    </row>
    <row r="38" spans="1:2" x14ac:dyDescent="0.35">
      <c r="A38" s="66" t="str">
        <f>IF(AND('Dächer und Decken'!A48&lt;&gt;"",LEN('Dächer und Decken'!A48)&lt;10),'Dächer und Decken'!A48,"")</f>
        <v/>
      </c>
      <c r="B38" s="66" t="str">
        <f t="array" ref="B38">IF(ROWS(B$1:B38)&gt;SUMPRODUCT(--(A:A&lt;&gt;"")),"",INDEX(A:A,SMALL(IF(A$1:A$200&lt;&gt;"",ROW(A$1:A$200)),ROWS(B$1:B38))))</f>
        <v/>
      </c>
    </row>
    <row r="39" spans="1:2" x14ac:dyDescent="0.35">
      <c r="A39" s="66" t="str">
        <f>IF(AND('Dächer und Decken'!A49&lt;&gt;"",LEN('Dächer und Decken'!A49)&lt;10),'Dächer und Decken'!A49,"")</f>
        <v/>
      </c>
      <c r="B39" s="66" t="str">
        <f t="array" ref="B39">IF(ROWS(B$1:B39)&gt;SUMPRODUCT(--(A:A&lt;&gt;"")),"",INDEX(A:A,SMALL(IF(A$1:A$200&lt;&gt;"",ROW(A$1:A$200)),ROWS(B$1:B39))))</f>
        <v/>
      </c>
    </row>
    <row r="40" spans="1:2" x14ac:dyDescent="0.35">
      <c r="A40" s="66" t="str">
        <f>IF(AND('Dächer und Decken'!A50&lt;&gt;"",LEN('Dächer und Decken'!A50)&lt;10),'Dächer und Decken'!A50,"")</f>
        <v/>
      </c>
      <c r="B40" s="66" t="str">
        <f t="array" ref="B40">IF(ROWS(B$1:B40)&gt;SUMPRODUCT(--(A:A&lt;&gt;"")),"",INDEX(A:A,SMALL(IF(A$1:A$200&lt;&gt;"",ROW(A$1:A$200)),ROWS(B$1:B40))))</f>
        <v/>
      </c>
    </row>
    <row r="41" spans="1:2" x14ac:dyDescent="0.35">
      <c r="A41" s="66" t="str">
        <f>IF(AND('Dächer und Decken'!A51&lt;&gt;"",LEN('Dächer und Decken'!A51)&lt;10),'Dächer und Decken'!A51,"")</f>
        <v/>
      </c>
      <c r="B41" s="66" t="str">
        <f t="array" ref="B41">IF(ROWS(B$1:B41)&gt;SUMPRODUCT(--(A:A&lt;&gt;"")),"",INDEX(A:A,SMALL(IF(A$1:A$200&lt;&gt;"",ROW(A$1:A$200)),ROWS(B$1:B41))))</f>
        <v/>
      </c>
    </row>
    <row r="42" spans="1:2" x14ac:dyDescent="0.35">
      <c r="A42" s="66" t="str">
        <f>IF(AND('Dächer und Decken'!A52&lt;&gt;"",LEN('Dächer und Decken'!A52)&lt;10),'Dächer und Decken'!A52,"")</f>
        <v/>
      </c>
      <c r="B42" s="66" t="str">
        <f t="array" ref="B42">IF(ROWS(B$1:B42)&gt;SUMPRODUCT(--(A:A&lt;&gt;"")),"",INDEX(A:A,SMALL(IF(A$1:A$200&lt;&gt;"",ROW(A$1:A$200)),ROWS(B$1:B42))))</f>
        <v/>
      </c>
    </row>
    <row r="43" spans="1:2" x14ac:dyDescent="0.35">
      <c r="A43" s="66" t="str">
        <f>IF(AND('Dächer und Decken'!A53&lt;&gt;"",LEN('Dächer und Decken'!A53)&lt;10),'Dächer und Decken'!A53,"")</f>
        <v/>
      </c>
      <c r="B43" s="66" t="str">
        <f t="array" ref="B43">IF(ROWS(B$1:B43)&gt;SUMPRODUCT(--(A:A&lt;&gt;"")),"",INDEX(A:A,SMALL(IF(A$1:A$200&lt;&gt;"",ROW(A$1:A$200)),ROWS(B$1:B43))))</f>
        <v/>
      </c>
    </row>
    <row r="44" spans="1:2" x14ac:dyDescent="0.35">
      <c r="A44" s="66" t="str">
        <f>IF(AND('Dächer und Decken'!A54&lt;&gt;"",LEN('Dächer und Decken'!A54)&lt;10),'Dächer und Decken'!A54,"")</f>
        <v/>
      </c>
      <c r="B44" s="66" t="str">
        <f t="array" ref="B44">IF(ROWS(B$1:B44)&gt;SUMPRODUCT(--(A:A&lt;&gt;"")),"",INDEX(A:A,SMALL(IF(A$1:A$200&lt;&gt;"",ROW(A$1:A$200)),ROWS(B$1:B44))))</f>
        <v/>
      </c>
    </row>
    <row r="45" spans="1:2" x14ac:dyDescent="0.35">
      <c r="A45" s="66" t="str">
        <f>IF(AND('Dächer und Decken'!A55&lt;&gt;"",LEN('Dächer und Decken'!A55)&lt;10),'Dächer und Decken'!A55,"")</f>
        <v/>
      </c>
      <c r="B45" s="66" t="str">
        <f t="array" ref="B45">IF(ROWS(B$1:B45)&gt;SUMPRODUCT(--(A:A&lt;&gt;"")),"",INDEX(A:A,SMALL(IF(A$1:A$200&lt;&gt;"",ROW(A$1:A$200)),ROWS(B$1:B45))))</f>
        <v/>
      </c>
    </row>
    <row r="46" spans="1:2" x14ac:dyDescent="0.35">
      <c r="A46" s="66" t="str">
        <f>IF(AND('Dächer und Decken'!A56&lt;&gt;"",LEN('Dächer und Decken'!A56)&lt;10),'Dächer und Decken'!A56,"")</f>
        <v/>
      </c>
      <c r="B46" s="66" t="str">
        <f t="array" ref="B46">IF(ROWS(B$1:B46)&gt;SUMPRODUCT(--(A:A&lt;&gt;"")),"",INDEX(A:A,SMALL(IF(A$1:A$200&lt;&gt;"",ROW(A$1:A$200)),ROWS(B$1:B46))))</f>
        <v/>
      </c>
    </row>
    <row r="47" spans="1:2" x14ac:dyDescent="0.35">
      <c r="A47" s="66" t="str">
        <f>IF(AND('Dächer und Decken'!A57&lt;&gt;"",LEN('Dächer und Decken'!A57)&lt;10),'Dächer und Decken'!A57,"")</f>
        <v/>
      </c>
      <c r="B47" s="66" t="str">
        <f t="array" ref="B47">IF(ROWS(B$1:B47)&gt;SUMPRODUCT(--(A:A&lt;&gt;"")),"",INDEX(A:A,SMALL(IF(A$1:A$200&lt;&gt;"",ROW(A$1:A$200)),ROWS(B$1:B47))))</f>
        <v/>
      </c>
    </row>
    <row r="48" spans="1:2" x14ac:dyDescent="0.35">
      <c r="A48" s="66" t="str">
        <f>IF(AND('Dächer und Decken'!A58&lt;&gt;"",LEN('Dächer und Decken'!A58)&lt;10),'Dächer und Decken'!A58,"")</f>
        <v/>
      </c>
      <c r="B48" s="66" t="str">
        <f t="array" ref="B48">IF(ROWS(B$1:B48)&gt;SUMPRODUCT(--(A:A&lt;&gt;"")),"",INDEX(A:A,SMALL(IF(A$1:A$200&lt;&gt;"",ROW(A$1:A$200)),ROWS(B$1:B48))))</f>
        <v/>
      </c>
    </row>
    <row r="49" spans="1:2" x14ac:dyDescent="0.35">
      <c r="A49" s="66" t="str">
        <f>IF(AND('Dächer und Decken'!A59&lt;&gt;"",LEN('Dächer und Decken'!A59)&lt;10),'Dächer und Decken'!A59,"")</f>
        <v/>
      </c>
      <c r="B49" s="66" t="str">
        <f t="array" ref="B49">IF(ROWS(B$1:B49)&gt;SUMPRODUCT(--(A:A&lt;&gt;"")),"",INDEX(A:A,SMALL(IF(A$1:A$200&lt;&gt;"",ROW(A$1:A$200)),ROWS(B$1:B49))))</f>
        <v/>
      </c>
    </row>
    <row r="50" spans="1:2" x14ac:dyDescent="0.35">
      <c r="A50" s="66" t="str">
        <f>IF(AND('Dächer und Decken'!A60&lt;&gt;"",LEN('Dächer und Decken'!A60)&lt;10),'Dächer und Decken'!A60,"")</f>
        <v/>
      </c>
      <c r="B50" s="66" t="str">
        <f t="array" ref="B50">IF(ROWS(B$1:B50)&gt;SUMPRODUCT(--(A:A&lt;&gt;"")),"",INDEX(A:A,SMALL(IF(A$1:A$200&lt;&gt;"",ROW(A$1:A$200)),ROWS(B$1:B50))))</f>
        <v/>
      </c>
    </row>
    <row r="51" spans="1:2" x14ac:dyDescent="0.35">
      <c r="A51" s="66" t="str">
        <f>IF(AND('Dächer und Decken'!A61&lt;&gt;"",LEN('Dächer und Decken'!A61)&lt;10),'Dächer und Decken'!A61,"")</f>
        <v/>
      </c>
      <c r="B51" s="66" t="str">
        <f t="array" ref="B51">IF(ROWS(B$1:B51)&gt;SUMPRODUCT(--(A:A&lt;&gt;"")),"",INDEX(A:A,SMALL(IF(A$1:A$200&lt;&gt;"",ROW(A$1:A$200)),ROWS(B$1:B51))))</f>
        <v/>
      </c>
    </row>
    <row r="52" spans="1:2" x14ac:dyDescent="0.35">
      <c r="A52" s="66" t="str">
        <f>IF(AND('Dächer und Decken'!A62&lt;&gt;"",LEN('Dächer und Decken'!A62)&lt;10),'Dächer und Decken'!A62,"")</f>
        <v/>
      </c>
      <c r="B52" s="66" t="str">
        <f t="array" ref="B52">IF(ROWS(B$1:B52)&gt;SUMPRODUCT(--(A:A&lt;&gt;"")),"",INDEX(A:A,SMALL(IF(A$1:A$200&lt;&gt;"",ROW(A$1:A$200)),ROWS(B$1:B52))))</f>
        <v/>
      </c>
    </row>
    <row r="53" spans="1:2" x14ac:dyDescent="0.35">
      <c r="A53" s="66" t="str">
        <f>IF(AND('Dächer und Decken'!A63&lt;&gt;"",LEN('Dächer und Decken'!A63)&lt;10),'Dächer und Decken'!A63,"")</f>
        <v/>
      </c>
      <c r="B53" s="66" t="str">
        <f t="array" ref="B53">IF(ROWS(B$1:B53)&gt;SUMPRODUCT(--(A:A&lt;&gt;"")),"",INDEX(A:A,SMALL(IF(A$1:A$200&lt;&gt;"",ROW(A$1:A$200)),ROWS(B$1:B53))))</f>
        <v/>
      </c>
    </row>
    <row r="54" spans="1:2" x14ac:dyDescent="0.35">
      <c r="A54" s="66" t="str">
        <f>IF(AND('Dächer und Decken'!A64&lt;&gt;"",LEN('Dächer und Decken'!A64)&lt;10),'Dächer und Decken'!A64,"")</f>
        <v/>
      </c>
      <c r="B54" s="66" t="str">
        <f t="array" ref="B54">IF(ROWS(B$1:B54)&gt;SUMPRODUCT(--(A:A&lt;&gt;"")),"",INDEX(A:A,SMALL(IF(A$1:A$200&lt;&gt;"",ROW(A$1:A$200)),ROWS(B$1:B54))))</f>
        <v/>
      </c>
    </row>
    <row r="55" spans="1:2" x14ac:dyDescent="0.35">
      <c r="A55" s="66" t="str">
        <f>IF(AND('Dächer und Decken'!A65&lt;&gt;"",LEN('Dächer und Decken'!A65)&lt;10),'Dächer und Decken'!A65,"")</f>
        <v/>
      </c>
      <c r="B55" s="66" t="str">
        <f t="array" ref="B55">IF(ROWS(B$1:B55)&gt;SUMPRODUCT(--(A:A&lt;&gt;"")),"",INDEX(A:A,SMALL(IF(A$1:A$200&lt;&gt;"",ROW(A$1:A$200)),ROWS(B$1:B55))))</f>
        <v/>
      </c>
    </row>
    <row r="56" spans="1:2" x14ac:dyDescent="0.35">
      <c r="A56" s="66" t="str">
        <f>IF(AND('Dächer und Decken'!A66&lt;&gt;"",LEN('Dächer und Decken'!A66)&lt;10),'Dächer und Decken'!A66,"")</f>
        <v/>
      </c>
      <c r="B56" s="66" t="str">
        <f t="array" ref="B56">IF(ROWS(B$1:B56)&gt;SUMPRODUCT(--(A:A&lt;&gt;"")),"",INDEX(A:A,SMALL(IF(A$1:A$200&lt;&gt;"",ROW(A$1:A$200)),ROWS(B$1:B56))))</f>
        <v/>
      </c>
    </row>
    <row r="57" spans="1:2" x14ac:dyDescent="0.35">
      <c r="A57" s="66" t="str">
        <f>IF(AND('Dächer und Decken'!A67&lt;&gt;"",LEN('Dächer und Decken'!A67)&lt;10),'Dächer und Decken'!A67,"")</f>
        <v/>
      </c>
      <c r="B57" s="66" t="str">
        <f t="array" ref="B57">IF(ROWS(B$1:B57)&gt;SUMPRODUCT(--(A:A&lt;&gt;"")),"",INDEX(A:A,SMALL(IF(A$1:A$200&lt;&gt;"",ROW(A$1:A$200)),ROWS(B$1:B57))))</f>
        <v/>
      </c>
    </row>
    <row r="58" spans="1:2" x14ac:dyDescent="0.35">
      <c r="A58" s="66" t="str">
        <f>IF(AND('Dächer und Decken'!A68&lt;&gt;"",LEN('Dächer und Decken'!A68)&lt;10),'Dächer und Decken'!A68,"")</f>
        <v/>
      </c>
      <c r="B58" s="66" t="str">
        <f t="array" ref="B58">IF(ROWS(B$1:B58)&gt;SUMPRODUCT(--(A:A&lt;&gt;"")),"",INDEX(A:A,SMALL(IF(A$1:A$200&lt;&gt;"",ROW(A$1:A$200)),ROWS(B$1:B58))))</f>
        <v/>
      </c>
    </row>
    <row r="59" spans="1:2" x14ac:dyDescent="0.35">
      <c r="A59" s="66" t="str">
        <f>IF(AND('Dächer und Decken'!A69&lt;&gt;"",LEN('Dächer und Decken'!A69)&lt;10),'Dächer und Decken'!A69,"")</f>
        <v/>
      </c>
      <c r="B59" s="66" t="str">
        <f t="array" ref="B59">IF(ROWS(B$1:B59)&gt;SUMPRODUCT(--(A:A&lt;&gt;"")),"",INDEX(A:A,SMALL(IF(A$1:A$200&lt;&gt;"",ROW(A$1:A$200)),ROWS(B$1:B59))))</f>
        <v/>
      </c>
    </row>
    <row r="60" spans="1:2" x14ac:dyDescent="0.35">
      <c r="A60" s="66" t="str">
        <f>IF(AND('Dächer und Decken'!A70&lt;&gt;"",LEN('Dächer und Decken'!A70)&lt;10),'Dächer und Decken'!A70,"")</f>
        <v/>
      </c>
      <c r="B60" s="66" t="str">
        <f t="array" ref="B60">IF(ROWS(B$1:B60)&gt;SUMPRODUCT(--(A:A&lt;&gt;"")),"",INDEX(A:A,SMALL(IF(A$1:A$200&lt;&gt;"",ROW(A$1:A$200)),ROWS(B$1:B60))))</f>
        <v/>
      </c>
    </row>
    <row r="61" spans="1:2" x14ac:dyDescent="0.35">
      <c r="A61" s="66" t="str">
        <f>IF(AND('Dächer und Decken'!A71&lt;&gt;"",LEN('Dächer und Decken'!A71)&lt;10),'Dächer und Decken'!A71,"")</f>
        <v/>
      </c>
      <c r="B61" s="66" t="str">
        <f t="array" ref="B61">IF(ROWS(B$1:B61)&gt;SUMPRODUCT(--(A:A&lt;&gt;"")),"",INDEX(A:A,SMALL(IF(A$1:A$200&lt;&gt;"",ROW(A$1:A$200)),ROWS(B$1:B61))))</f>
        <v/>
      </c>
    </row>
    <row r="62" spans="1:2" x14ac:dyDescent="0.35">
      <c r="A62" s="66" t="str">
        <f>IF(AND('Dächer und Decken'!A72&lt;&gt;"",LEN('Dächer und Decken'!A72)&lt;10),'Dächer und Decken'!A72,"")</f>
        <v/>
      </c>
      <c r="B62" s="66" t="str">
        <f t="array" ref="B62">IF(ROWS(B$1:B62)&gt;SUMPRODUCT(--(A:A&lt;&gt;"")),"",INDEX(A:A,SMALL(IF(A$1:A$200&lt;&gt;"",ROW(A$1:A$200)),ROWS(B$1:B62))))</f>
        <v/>
      </c>
    </row>
    <row r="63" spans="1:2" x14ac:dyDescent="0.35">
      <c r="A63" s="66" t="str">
        <f>IF(AND('Dächer und Decken'!A73&lt;&gt;"",LEN('Dächer und Decken'!A73)&lt;10),'Dächer und Decken'!A73,"")</f>
        <v/>
      </c>
      <c r="B63" s="66" t="str">
        <f t="array" ref="B63">IF(ROWS(B$1:B63)&gt;SUMPRODUCT(--(A:A&lt;&gt;"")),"",INDEX(A:A,SMALL(IF(A$1:A$200&lt;&gt;"",ROW(A$1:A$200)),ROWS(B$1:B63))))</f>
        <v/>
      </c>
    </row>
    <row r="64" spans="1:2" x14ac:dyDescent="0.35">
      <c r="A64" s="66" t="str">
        <f>IF(AND('Dächer und Decken'!A74&lt;&gt;"",LEN('Dächer und Decken'!A74)&lt;10),'Dächer und Decken'!A74,"")</f>
        <v/>
      </c>
      <c r="B64" s="66" t="str">
        <f t="array" ref="B64">IF(ROWS(B$1:B64)&gt;SUMPRODUCT(--(A:A&lt;&gt;"")),"",INDEX(A:A,SMALL(IF(A$1:A$200&lt;&gt;"",ROW(A$1:A$200)),ROWS(B$1:B64))))</f>
        <v/>
      </c>
    </row>
    <row r="65" spans="1:2" x14ac:dyDescent="0.35">
      <c r="A65" s="66" t="str">
        <f>IF(AND('Dächer und Decken'!A75&lt;&gt;"",LEN('Dächer und Decken'!A75)&lt;10),'Dächer und Decken'!A75,"")</f>
        <v/>
      </c>
      <c r="B65" s="66" t="str">
        <f t="array" ref="B65">IF(ROWS(B$1:B65)&gt;SUMPRODUCT(--(A:A&lt;&gt;"")),"",INDEX(A:A,SMALL(IF(A$1:A$200&lt;&gt;"",ROW(A$1:A$200)),ROWS(B$1:B65))))</f>
        <v/>
      </c>
    </row>
    <row r="66" spans="1:2" x14ac:dyDescent="0.35">
      <c r="A66" s="66" t="str">
        <f>IF(AND('Dächer und Decken'!A76&lt;&gt;"",LEN('Dächer und Decken'!A76)&lt;10),'Dächer und Decken'!A76,"")</f>
        <v/>
      </c>
      <c r="B66" s="66" t="str">
        <f t="array" ref="B66">IF(ROWS(B$1:B66)&gt;SUMPRODUCT(--(A:A&lt;&gt;"")),"",INDEX(A:A,SMALL(IF(A$1:A$200&lt;&gt;"",ROW(A$1:A$200)),ROWS(B$1:B66))))</f>
        <v/>
      </c>
    </row>
    <row r="67" spans="1:2" x14ac:dyDescent="0.35">
      <c r="A67" s="66" t="str">
        <f>IF(AND('Dächer und Decken'!A77&lt;&gt;"",LEN('Dächer und Decken'!A77)&lt;10),'Dächer und Decken'!A77,"")</f>
        <v/>
      </c>
      <c r="B67" s="66" t="str">
        <f t="array" ref="B67">IF(ROWS(B$1:B67)&gt;SUMPRODUCT(--(A:A&lt;&gt;"")),"",INDEX(A:A,SMALL(IF(A$1:A$200&lt;&gt;"",ROW(A$1:A$200)),ROWS(B$1:B67))))</f>
        <v/>
      </c>
    </row>
    <row r="68" spans="1:2" x14ac:dyDescent="0.35">
      <c r="A68" s="66" t="str">
        <f>IF(AND('Dächer und Decken'!A78&lt;&gt;"",LEN('Dächer und Decken'!A78)&lt;10),'Dächer und Decken'!A78,"")</f>
        <v/>
      </c>
      <c r="B68" s="66" t="str">
        <f t="array" ref="B68">IF(ROWS(B$1:B68)&gt;SUMPRODUCT(--(A:A&lt;&gt;"")),"",INDEX(A:A,SMALL(IF(A$1:A$200&lt;&gt;"",ROW(A$1:A$200)),ROWS(B$1:B68))))</f>
        <v/>
      </c>
    </row>
    <row r="69" spans="1:2" x14ac:dyDescent="0.35">
      <c r="A69" s="66" t="str">
        <f>IF(AND('Dächer und Decken'!A79&lt;&gt;"",LEN('Dächer und Decken'!A79)&lt;10),'Dächer und Decken'!A79,"")</f>
        <v/>
      </c>
      <c r="B69" s="66" t="str">
        <f t="array" ref="B69">IF(ROWS(B$1:B69)&gt;SUMPRODUCT(--(A:A&lt;&gt;"")),"",INDEX(A:A,SMALL(IF(A$1:A$200&lt;&gt;"",ROW(A$1:A$200)),ROWS(B$1:B69))))</f>
        <v/>
      </c>
    </row>
    <row r="70" spans="1:2" x14ac:dyDescent="0.35">
      <c r="A70" s="66" t="str">
        <f>IF(AND('Dächer und Decken'!A80&lt;&gt;"",LEN('Dächer und Decken'!A80)&lt;10),'Dächer und Decken'!A80,"")</f>
        <v/>
      </c>
      <c r="B70" s="66" t="str">
        <f t="array" ref="B70">IF(ROWS(B$1:B70)&gt;SUMPRODUCT(--(A:A&lt;&gt;"")),"",INDEX(A:A,SMALL(IF(A$1:A$200&lt;&gt;"",ROW(A$1:A$200)),ROWS(B$1:B70))))</f>
        <v/>
      </c>
    </row>
    <row r="71" spans="1:2" x14ac:dyDescent="0.35">
      <c r="A71" s="66" t="str">
        <f>IF(AND('Dächer und Decken'!A81&lt;&gt;"",LEN('Dächer und Decken'!A81)&lt;10),'Dächer und Decken'!A81,"")</f>
        <v/>
      </c>
      <c r="B71" s="66" t="str">
        <f t="array" ref="B71">IF(ROWS(B$1:B71)&gt;SUMPRODUCT(--(A:A&lt;&gt;"")),"",INDEX(A:A,SMALL(IF(A$1:A$200&lt;&gt;"",ROW(A$1:A$200)),ROWS(B$1:B71))))</f>
        <v/>
      </c>
    </row>
    <row r="72" spans="1:2" x14ac:dyDescent="0.35">
      <c r="A72" s="66" t="str">
        <f>IF(AND('Dächer und Decken'!A82&lt;&gt;"",LEN('Dächer und Decken'!A82)&lt;10),'Dächer und Decken'!A82,"")</f>
        <v/>
      </c>
      <c r="B72" s="66" t="str">
        <f t="array" ref="B72">IF(ROWS(B$1:B72)&gt;SUMPRODUCT(--(A:A&lt;&gt;"")),"",INDEX(A:A,SMALL(IF(A$1:A$200&lt;&gt;"",ROW(A$1:A$200)),ROWS(B$1:B72))))</f>
        <v/>
      </c>
    </row>
    <row r="73" spans="1:2" x14ac:dyDescent="0.35">
      <c r="A73" s="66" t="str">
        <f>IF(AND('Dächer und Decken'!A83&lt;&gt;"",LEN('Dächer und Decken'!A83)&lt;10),'Dächer und Decken'!A83,"")</f>
        <v/>
      </c>
      <c r="B73" s="66" t="str">
        <f t="array" ref="B73">IF(ROWS(B$1:B73)&gt;SUMPRODUCT(--(A:A&lt;&gt;"")),"",INDEX(A:A,SMALL(IF(A$1:A$200&lt;&gt;"",ROW(A$1:A$200)),ROWS(B$1:B73))))</f>
        <v/>
      </c>
    </row>
    <row r="74" spans="1:2" x14ac:dyDescent="0.35">
      <c r="A74" s="66" t="str">
        <f>IF(AND('Dächer und Decken'!A84&lt;&gt;"",LEN('Dächer und Decken'!A84)&lt;10),'Dächer und Decken'!A84,"")</f>
        <v/>
      </c>
      <c r="B74" s="66" t="str">
        <f t="array" ref="B74">IF(ROWS(B$1:B74)&gt;SUMPRODUCT(--(A:A&lt;&gt;"")),"",INDEX(A:A,SMALL(IF(A$1:A$200&lt;&gt;"",ROW(A$1:A$200)),ROWS(B$1:B74))))</f>
        <v/>
      </c>
    </row>
    <row r="75" spans="1:2" x14ac:dyDescent="0.35">
      <c r="A75" s="66" t="str">
        <f>IF(AND('Dächer und Decken'!A85&lt;&gt;"",LEN('Dächer und Decken'!A85)&lt;10),'Dächer und Decken'!A85,"")</f>
        <v/>
      </c>
      <c r="B75" s="66" t="str">
        <f t="array" ref="B75">IF(ROWS(B$1:B75)&gt;SUMPRODUCT(--(A:A&lt;&gt;"")),"",INDEX(A:A,SMALL(IF(A$1:A$200&lt;&gt;"",ROW(A$1:A$200)),ROWS(B$1:B75))))</f>
        <v/>
      </c>
    </row>
    <row r="76" spans="1:2" x14ac:dyDescent="0.35">
      <c r="A76" s="66" t="str">
        <f>IF(AND('Dächer und Decken'!A86&lt;&gt;"",LEN('Dächer und Decken'!A86)&lt;10),'Dächer und Decken'!A86,"")</f>
        <v/>
      </c>
      <c r="B76" s="66" t="str">
        <f t="array" ref="B76">IF(ROWS(B$1:B76)&gt;SUMPRODUCT(--(A:A&lt;&gt;"")),"",INDEX(A:A,SMALL(IF(A$1:A$200&lt;&gt;"",ROW(A$1:A$200)),ROWS(B$1:B76))))</f>
        <v/>
      </c>
    </row>
    <row r="77" spans="1:2" x14ac:dyDescent="0.35">
      <c r="A77" s="66" t="str">
        <f>IF(AND('Dächer und Decken'!A87&lt;&gt;"",LEN('Dächer und Decken'!A87)&lt;10),'Dächer und Decken'!A87,"")</f>
        <v/>
      </c>
      <c r="B77" s="66" t="str">
        <f t="array" ref="B77">IF(ROWS(B$1:B77)&gt;SUMPRODUCT(--(A:A&lt;&gt;"")),"",INDEX(A:A,SMALL(IF(A$1:A$200&lt;&gt;"",ROW(A$1:A$200)),ROWS(B$1:B77))))</f>
        <v/>
      </c>
    </row>
    <row r="78" spans="1:2" x14ac:dyDescent="0.35">
      <c r="A78" s="66" t="str">
        <f>IF(AND('Dächer und Decken'!A88&lt;&gt;"",LEN('Dächer und Decken'!A88)&lt;10),'Dächer und Decken'!A88,"")</f>
        <v/>
      </c>
      <c r="B78" s="66" t="str">
        <f t="array" ref="B78">IF(ROWS(B$1:B78)&gt;SUMPRODUCT(--(A:A&lt;&gt;"")),"",INDEX(A:A,SMALL(IF(A$1:A$200&lt;&gt;"",ROW(A$1:A$200)),ROWS(B$1:B78))))</f>
        <v/>
      </c>
    </row>
    <row r="79" spans="1:2" x14ac:dyDescent="0.35">
      <c r="A79" s="66" t="str">
        <f>IF(AND('Dächer und Decken'!A89&lt;&gt;"",LEN('Dächer und Decken'!A89)&lt;10),'Dächer und Decken'!A89,"")</f>
        <v/>
      </c>
      <c r="B79" s="66" t="str">
        <f t="array" ref="B79">IF(ROWS(B$1:B79)&gt;SUMPRODUCT(--(A:A&lt;&gt;"")),"",INDEX(A:A,SMALL(IF(A$1:A$200&lt;&gt;"",ROW(A$1:A$200)),ROWS(B$1:B79))))</f>
        <v/>
      </c>
    </row>
    <row r="80" spans="1:2" x14ac:dyDescent="0.35">
      <c r="A80" s="66" t="str">
        <f>IF(AND('Dächer und Decken'!A90&lt;&gt;"",LEN('Dächer und Decken'!A90)&lt;10),'Dächer und Decken'!A90,"")</f>
        <v/>
      </c>
      <c r="B80" s="66" t="str">
        <f t="array" ref="B80">IF(ROWS(B$1:B80)&gt;SUMPRODUCT(--(A:A&lt;&gt;"")),"",INDEX(A:A,SMALL(IF(A$1:A$200&lt;&gt;"",ROW(A$1:A$200)),ROWS(B$1:B80))))</f>
        <v/>
      </c>
    </row>
    <row r="81" spans="1:2" x14ac:dyDescent="0.35">
      <c r="A81" s="66" t="str">
        <f>IF(AND('Dächer und Decken'!A91&lt;&gt;"",LEN('Dächer und Decken'!A91)&lt;10),'Dächer und Decken'!A91,"")</f>
        <v/>
      </c>
      <c r="B81" s="66" t="str">
        <f t="array" ref="B81">IF(ROWS(B$1:B81)&gt;SUMPRODUCT(--(A:A&lt;&gt;"")),"",INDEX(A:A,SMALL(IF(A$1:A$200&lt;&gt;"",ROW(A$1:A$200)),ROWS(B$1:B81))))</f>
        <v/>
      </c>
    </row>
    <row r="82" spans="1:2" x14ac:dyDescent="0.35">
      <c r="A82" s="66" t="str">
        <f>IF(AND('Dächer und Decken'!A92&lt;&gt;"",LEN('Dächer und Decken'!A92)&lt;10),'Dächer und Decken'!A92,"")</f>
        <v/>
      </c>
      <c r="B82" s="66" t="str">
        <f t="array" ref="B82">IF(ROWS(B$1:B82)&gt;SUMPRODUCT(--(A:A&lt;&gt;"")),"",INDEX(A:A,SMALL(IF(A$1:A$200&lt;&gt;"",ROW(A$1:A$200)),ROWS(B$1:B82))))</f>
        <v/>
      </c>
    </row>
    <row r="83" spans="1:2" x14ac:dyDescent="0.35">
      <c r="A83" s="66" t="str">
        <f>IF(AND('Dächer und Decken'!A93&lt;&gt;"",LEN('Dächer und Decken'!A93)&lt;10),'Dächer und Decken'!A93,"")</f>
        <v/>
      </c>
      <c r="B83" s="66" t="str">
        <f t="array" ref="B83">IF(ROWS(B$1:B83)&gt;SUMPRODUCT(--(A:A&lt;&gt;"")),"",INDEX(A:A,SMALL(IF(A$1:A$200&lt;&gt;"",ROW(A$1:A$200)),ROWS(B$1:B83))))</f>
        <v/>
      </c>
    </row>
    <row r="84" spans="1:2" x14ac:dyDescent="0.35">
      <c r="A84" s="66" t="str">
        <f>IF(AND('Dächer und Decken'!A94&lt;&gt;"",LEN('Dächer und Decken'!A94)&lt;10),'Dächer und Decken'!A94,"")</f>
        <v/>
      </c>
      <c r="B84" s="66" t="str">
        <f t="array" ref="B84">IF(ROWS(B$1:B84)&gt;SUMPRODUCT(--(A:A&lt;&gt;"")),"",INDEX(A:A,SMALL(IF(A$1:A$200&lt;&gt;"",ROW(A$1:A$200)),ROWS(B$1:B84))))</f>
        <v/>
      </c>
    </row>
    <row r="85" spans="1:2" x14ac:dyDescent="0.35">
      <c r="A85" s="66" t="str">
        <f>IF(AND('Dächer und Decken'!A95&lt;&gt;"",LEN('Dächer und Decken'!A95)&lt;10),'Dächer und Decken'!A95,"")</f>
        <v/>
      </c>
      <c r="B85" s="66" t="str">
        <f t="array" ref="B85">IF(ROWS(B$1:B85)&gt;SUMPRODUCT(--(A:A&lt;&gt;"")),"",INDEX(A:A,SMALL(IF(A$1:A$200&lt;&gt;"",ROW(A$1:A$200)),ROWS(B$1:B85))))</f>
        <v/>
      </c>
    </row>
    <row r="86" spans="1:2" x14ac:dyDescent="0.35">
      <c r="A86" s="66" t="str">
        <f>IF(AND('Dächer und Decken'!A96&lt;&gt;"",LEN('Dächer und Decken'!A96)&lt;10),'Dächer und Decken'!A96,"")</f>
        <v/>
      </c>
      <c r="B86" s="66" t="str">
        <f t="array" ref="B86">IF(ROWS(B$1:B86)&gt;SUMPRODUCT(--(A:A&lt;&gt;"")),"",INDEX(A:A,SMALL(IF(A$1:A$200&lt;&gt;"",ROW(A$1:A$200)),ROWS(B$1:B86))))</f>
        <v/>
      </c>
    </row>
    <row r="87" spans="1:2" x14ac:dyDescent="0.35">
      <c r="A87" s="66" t="str">
        <f>IF(AND('Dächer und Decken'!A97&lt;&gt;"",LEN('Dächer und Decken'!A97)&lt;10),'Dächer und Decken'!A97,"")</f>
        <v/>
      </c>
      <c r="B87" s="66" t="str">
        <f t="array" ref="B87">IF(ROWS(B$1:B87)&gt;SUMPRODUCT(--(A:A&lt;&gt;"")),"",INDEX(A:A,SMALL(IF(A$1:A$200&lt;&gt;"",ROW(A$1:A$200)),ROWS(B$1:B87))))</f>
        <v/>
      </c>
    </row>
    <row r="88" spans="1:2" x14ac:dyDescent="0.35">
      <c r="A88" s="66" t="str">
        <f>IF(AND('Dächer und Decken'!A98&lt;&gt;"",LEN('Dächer und Decken'!A98)&lt;10),'Dächer und Decken'!A98,"")</f>
        <v/>
      </c>
      <c r="B88" s="66" t="str">
        <f t="array" ref="B88">IF(ROWS(B$1:B88)&gt;SUMPRODUCT(--(A:A&lt;&gt;"")),"",INDEX(A:A,SMALL(IF(A$1:A$200&lt;&gt;"",ROW(A$1:A$200)),ROWS(B$1:B88))))</f>
        <v/>
      </c>
    </row>
    <row r="89" spans="1:2" x14ac:dyDescent="0.35">
      <c r="A89" s="66" t="str">
        <f>IF(AND('Dächer und Decken'!A99&lt;&gt;"",LEN('Dächer und Decken'!A99)&lt;10),'Dächer und Decken'!A99,"")</f>
        <v/>
      </c>
      <c r="B89" s="66" t="str">
        <f t="array" ref="B89">IF(ROWS(B$1:B89)&gt;SUMPRODUCT(--(A:A&lt;&gt;"")),"",INDEX(A:A,SMALL(IF(A$1:A$200&lt;&gt;"",ROW(A$1:A$200)),ROWS(B$1:B89))))</f>
        <v/>
      </c>
    </row>
    <row r="90" spans="1:2" x14ac:dyDescent="0.35">
      <c r="A90" s="66" t="str">
        <f>IF(AND('Dächer und Decken'!A100&lt;&gt;"",LEN('Dächer und Decken'!A100)&lt;10),'Dächer und Decken'!A100,"")</f>
        <v/>
      </c>
      <c r="B90" s="66" t="str">
        <f t="array" ref="B90">IF(ROWS(B$1:B90)&gt;SUMPRODUCT(--(A:A&lt;&gt;"")),"",INDEX(A:A,SMALL(IF(A$1:A$200&lt;&gt;"",ROW(A$1:A$200)),ROWS(B$1:B90))))</f>
        <v/>
      </c>
    </row>
    <row r="91" spans="1:2" x14ac:dyDescent="0.35">
      <c r="A91" s="66" t="str">
        <f>IF(AND('Dächer und Decken'!A101&lt;&gt;"",LEN('Dächer und Decken'!A101)&lt;10),'Dächer und Decken'!A101,"")</f>
        <v/>
      </c>
      <c r="B91" s="66" t="str">
        <f t="array" ref="B91">IF(ROWS(B$1:B91)&gt;SUMPRODUCT(--(A:A&lt;&gt;"")),"",INDEX(A:A,SMALL(IF(A$1:A$200&lt;&gt;"",ROW(A$1:A$200)),ROWS(B$1:B91))))</f>
        <v/>
      </c>
    </row>
    <row r="92" spans="1:2" x14ac:dyDescent="0.35">
      <c r="A92" s="66" t="str">
        <f>IF(AND('Dächer und Decken'!A102&lt;&gt;"",LEN('Dächer und Decken'!A102)&lt;10),'Dächer und Decken'!A102,"")</f>
        <v/>
      </c>
      <c r="B92" s="66" t="str">
        <f t="array" ref="B92">IF(ROWS(B$1:B92)&gt;SUMPRODUCT(--(A:A&lt;&gt;"")),"",INDEX(A:A,SMALL(IF(A$1:A$200&lt;&gt;"",ROW(A$1:A$200)),ROWS(B$1:B92))))</f>
        <v/>
      </c>
    </row>
    <row r="93" spans="1:2" x14ac:dyDescent="0.35">
      <c r="A93" s="66" t="str">
        <f>IF(AND('Dächer und Decken'!A103&lt;&gt;"",LEN('Dächer und Decken'!A103)&lt;10),'Dächer und Decken'!A103,"")</f>
        <v/>
      </c>
      <c r="B93" s="66" t="str">
        <f t="array" ref="B93">IF(ROWS(B$1:B93)&gt;SUMPRODUCT(--(A:A&lt;&gt;"")),"",INDEX(A:A,SMALL(IF(A$1:A$200&lt;&gt;"",ROW(A$1:A$200)),ROWS(B$1:B93))))</f>
        <v/>
      </c>
    </row>
    <row r="94" spans="1:2" x14ac:dyDescent="0.35">
      <c r="A94" s="66" t="str">
        <f>IF(AND('Dächer und Decken'!A104&lt;&gt;"",LEN('Dächer und Decken'!A104)&lt;10),'Dächer und Decken'!A104,"")</f>
        <v/>
      </c>
      <c r="B94" s="66" t="str">
        <f t="array" ref="B94">IF(ROWS(B$1:B94)&gt;SUMPRODUCT(--(A:A&lt;&gt;"")),"",INDEX(A:A,SMALL(IF(A$1:A$200&lt;&gt;"",ROW(A$1:A$200)),ROWS(B$1:B94))))</f>
        <v/>
      </c>
    </row>
    <row r="95" spans="1:2" x14ac:dyDescent="0.35">
      <c r="A95" s="66" t="str">
        <f>IF(AND('Dächer und Decken'!A105&lt;&gt;"",LEN('Dächer und Decken'!A105)&lt;10),'Dächer und Decken'!A105,"")</f>
        <v/>
      </c>
      <c r="B95" s="66" t="str">
        <f t="array" ref="B95">IF(ROWS(B$1:B95)&gt;SUMPRODUCT(--(A:A&lt;&gt;"")),"",INDEX(A:A,SMALL(IF(A$1:A$200&lt;&gt;"",ROW(A$1:A$200)),ROWS(B$1:B95))))</f>
        <v/>
      </c>
    </row>
    <row r="96" spans="1:2" x14ac:dyDescent="0.35">
      <c r="A96" s="66" t="str">
        <f>IF(AND('Dächer und Decken'!A106&lt;&gt;"",LEN('Dächer und Decken'!A106)&lt;10),'Dächer und Decken'!A106,"")</f>
        <v/>
      </c>
      <c r="B96" s="66" t="str">
        <f t="array" ref="B96">IF(ROWS(B$1:B96)&gt;SUMPRODUCT(--(A:A&lt;&gt;"")),"",INDEX(A:A,SMALL(IF(A$1:A$200&lt;&gt;"",ROW(A$1:A$200)),ROWS(B$1:B96))))</f>
        <v/>
      </c>
    </row>
    <row r="97" spans="1:2" x14ac:dyDescent="0.35">
      <c r="A97" s="66" t="str">
        <f>IF(AND('Dächer und Decken'!A107&lt;&gt;"",LEN('Dächer und Decken'!A107)&lt;10),'Dächer und Decken'!A107,"")</f>
        <v/>
      </c>
      <c r="B97" s="66" t="str">
        <f t="array" ref="B97">IF(ROWS(B$1:B97)&gt;SUMPRODUCT(--(A:A&lt;&gt;"")),"",INDEX(A:A,SMALL(IF(A$1:A$200&lt;&gt;"",ROW(A$1:A$200)),ROWS(B$1:B97))))</f>
        <v/>
      </c>
    </row>
    <row r="98" spans="1:2" x14ac:dyDescent="0.35">
      <c r="A98" s="66" t="str">
        <f>IF(AND('Dächer und Decken'!A108&lt;&gt;"",LEN('Dächer und Decken'!A108)&lt;10),'Dächer und Decken'!A108,"")</f>
        <v/>
      </c>
      <c r="B98" s="66" t="str">
        <f t="array" ref="B98">IF(ROWS(B$1:B98)&gt;SUMPRODUCT(--(A:A&lt;&gt;"")),"",INDEX(A:A,SMALL(IF(A$1:A$200&lt;&gt;"",ROW(A$1:A$200)),ROWS(B$1:B98))))</f>
        <v/>
      </c>
    </row>
    <row r="99" spans="1:2" x14ac:dyDescent="0.35">
      <c r="A99" s="66" t="str">
        <f>IF(AND('Dächer und Decken'!A109&lt;&gt;"",LEN('Dächer und Decken'!A109)&lt;10),'Dächer und Decken'!A109,"")</f>
        <v/>
      </c>
      <c r="B99" s="66" t="str">
        <f t="array" ref="B99">IF(ROWS(B$1:B99)&gt;SUMPRODUCT(--(A:A&lt;&gt;"")),"",INDEX(A:A,SMALL(IF(A$1:A$200&lt;&gt;"",ROW(A$1:A$200)),ROWS(B$1:B99))))</f>
        <v/>
      </c>
    </row>
    <row r="100" spans="1:2" s="36" customFormat="1" ht="15" thickBot="1" x14ac:dyDescent="0.4">
      <c r="A100" s="66" t="str">
        <f>IF(AND('Dächer und Decken'!A110&lt;&gt;"",LEN('Dächer und Decken'!A110)&lt;10),'Dächer und Decken'!A110,"")</f>
        <v/>
      </c>
      <c r="B100" s="66" t="str">
        <f t="array" ref="B100">IF(ROWS(B$1:B100)&gt;SUMPRODUCT(--(A:A&lt;&gt;"")),"",INDEX(A:A,SMALL(IF(A$1:A$200&lt;&gt;"",ROW(A$1:A$200)),ROWS(B$1:B100))))</f>
        <v/>
      </c>
    </row>
    <row r="101" spans="1:2" ht="15" thickTop="1" x14ac:dyDescent="0.35">
      <c r="A101" s="66" t="str">
        <f>IF(AND(Wände!A11&lt;&gt;"",LEN(Wände!A11)&lt;10),Wände!A11,"")</f>
        <v/>
      </c>
      <c r="B101" s="66" t="str">
        <f t="array" ref="B101">IF(ROWS(B$1:B101)&gt;SUMPRODUCT(--(A:A&lt;&gt;"")),"",INDEX(A:A,SMALL(IF(A$1:A$200&lt;&gt;"",ROW(A$1:A$200)),ROWS(B$1:B101))))</f>
        <v/>
      </c>
    </row>
    <row r="102" spans="1:2" x14ac:dyDescent="0.35">
      <c r="A102" s="66" t="str">
        <f>IF(AND(Wände!A12&lt;&gt;"",LEN(Wände!A12)&lt;10),Wände!A12,"")</f>
        <v/>
      </c>
      <c r="B102" s="66" t="str">
        <f t="array" ref="B102">IF(ROWS(B$1:B102)&gt;SUMPRODUCT(--(A:A&lt;&gt;"")),"",INDEX(A:A,SMALL(IF(A$1:A$200&lt;&gt;"",ROW(A$1:A$200)),ROWS(B$1:B102))))</f>
        <v/>
      </c>
    </row>
    <row r="103" spans="1:2" x14ac:dyDescent="0.35">
      <c r="A103" s="66" t="str">
        <f>IF(AND(Wände!A13&lt;&gt;"",LEN(Wände!A13)&lt;10),Wände!A13,"")</f>
        <v/>
      </c>
      <c r="B103" s="66" t="str">
        <f t="array" ref="B103">IF(ROWS(B$1:B103)&gt;SUMPRODUCT(--(A:A&lt;&gt;"")),"",INDEX(A:A,SMALL(IF(A$1:A$200&lt;&gt;"",ROW(A$1:A$200)),ROWS(B$1:B103))))</f>
        <v/>
      </c>
    </row>
    <row r="104" spans="1:2" x14ac:dyDescent="0.35">
      <c r="A104" s="66" t="str">
        <f>IF(AND(Wände!A14&lt;&gt;"",LEN(Wände!A14)&lt;10),Wände!A14,"")</f>
        <v/>
      </c>
      <c r="B104" s="66" t="str">
        <f t="array" ref="B104">IF(ROWS(B$1:B104)&gt;SUMPRODUCT(--(A:A&lt;&gt;"")),"",INDEX(A:A,SMALL(IF(A$1:A$200&lt;&gt;"",ROW(A$1:A$200)),ROWS(B$1:B104))))</f>
        <v/>
      </c>
    </row>
    <row r="105" spans="1:2" x14ac:dyDescent="0.35">
      <c r="A105" s="66" t="str">
        <f>IF(AND(Wände!A15&lt;&gt;"",LEN(Wände!A15)&lt;10),Wände!A15,"")</f>
        <v/>
      </c>
      <c r="B105" s="66" t="str">
        <f t="array" ref="B105">IF(ROWS(B$1:B105)&gt;SUMPRODUCT(--(A:A&lt;&gt;"")),"",INDEX(A:A,SMALL(IF(A$1:A$200&lt;&gt;"",ROW(A$1:A$200)),ROWS(B$1:B105))))</f>
        <v/>
      </c>
    </row>
    <row r="106" spans="1:2" x14ac:dyDescent="0.35">
      <c r="A106" s="66" t="str">
        <f>IF(AND(Wände!A16&lt;&gt;"",LEN(Wände!A16)&lt;10),Wände!A16,"")</f>
        <v/>
      </c>
      <c r="B106" s="66" t="str">
        <f t="array" ref="B106">IF(ROWS(B$1:B106)&gt;SUMPRODUCT(--(A:A&lt;&gt;"")),"",INDEX(A:A,SMALL(IF(A$1:A$200&lt;&gt;"",ROW(A$1:A$200)),ROWS(B$1:B106))))</f>
        <v/>
      </c>
    </row>
    <row r="107" spans="1:2" x14ac:dyDescent="0.35">
      <c r="A107" s="66" t="str">
        <f>IF(AND(Wände!A17&lt;&gt;"",LEN(Wände!A17)&lt;10),Wände!A17,"")</f>
        <v/>
      </c>
      <c r="B107" s="66" t="str">
        <f t="array" ref="B107">IF(ROWS(B$1:B107)&gt;SUMPRODUCT(--(A:A&lt;&gt;"")),"",INDEX(A:A,SMALL(IF(A$1:A$200&lt;&gt;"",ROW(A$1:A$200)),ROWS(B$1:B107))))</f>
        <v/>
      </c>
    </row>
    <row r="108" spans="1:2" x14ac:dyDescent="0.35">
      <c r="A108" s="66" t="str">
        <f>IF(AND(Wände!A18&lt;&gt;"",LEN(Wände!A18)&lt;10),Wände!A18,"")</f>
        <v/>
      </c>
      <c r="B108" s="66" t="str">
        <f t="array" ref="B108">IF(ROWS(B$1:B108)&gt;SUMPRODUCT(--(A:A&lt;&gt;"")),"",INDEX(A:A,SMALL(IF(A$1:A$200&lt;&gt;"",ROW(A$1:A$200)),ROWS(B$1:B108))))</f>
        <v/>
      </c>
    </row>
    <row r="109" spans="1:2" x14ac:dyDescent="0.35">
      <c r="A109" s="66" t="str">
        <f>IF(AND(Wände!A19&lt;&gt;"",LEN(Wände!A19)&lt;10),Wände!A19,"")</f>
        <v/>
      </c>
      <c r="B109" s="66" t="str">
        <f t="array" ref="B109">IF(ROWS(B$1:B109)&gt;SUMPRODUCT(--(A:A&lt;&gt;"")),"",INDEX(A:A,SMALL(IF(A$1:A$200&lt;&gt;"",ROW(A$1:A$200)),ROWS(B$1:B109))))</f>
        <v/>
      </c>
    </row>
    <row r="110" spans="1:2" x14ac:dyDescent="0.35">
      <c r="A110" s="66" t="str">
        <f>IF(AND(Wände!A20&lt;&gt;"",LEN(Wände!A20)&lt;10),Wände!A20,"")</f>
        <v/>
      </c>
      <c r="B110" s="66" t="str">
        <f t="array" ref="B110">IF(ROWS(B$1:B110)&gt;SUMPRODUCT(--(A:A&lt;&gt;"")),"",INDEX(A:A,SMALL(IF(A$1:A$200&lt;&gt;"",ROW(A$1:A$200)),ROWS(B$1:B110))))</f>
        <v/>
      </c>
    </row>
    <row r="111" spans="1:2" x14ac:dyDescent="0.35">
      <c r="A111" s="66" t="str">
        <f>IF(AND(Wände!A21&lt;&gt;"",LEN(Wände!A21)&lt;10),Wände!A21,"")</f>
        <v/>
      </c>
      <c r="B111" s="66" t="str">
        <f t="array" ref="B111">IF(ROWS(B$1:B111)&gt;SUMPRODUCT(--(A:A&lt;&gt;"")),"",INDEX(A:A,SMALL(IF(A$1:A$200&lt;&gt;"",ROW(A$1:A$200)),ROWS(B$1:B111))))</f>
        <v/>
      </c>
    </row>
    <row r="112" spans="1:2" x14ac:dyDescent="0.35">
      <c r="A112" s="66" t="str">
        <f>IF(AND(Wände!A22&lt;&gt;"",LEN(Wände!A22)&lt;10),Wände!A22,"")</f>
        <v/>
      </c>
      <c r="B112" s="66" t="str">
        <f t="array" ref="B112">IF(ROWS(B$1:B112)&gt;SUMPRODUCT(--(A:A&lt;&gt;"")),"",INDEX(A:A,SMALL(IF(A$1:A$200&lt;&gt;"",ROW(A$1:A$200)),ROWS(B$1:B112))))</f>
        <v/>
      </c>
    </row>
    <row r="113" spans="1:2" x14ac:dyDescent="0.35">
      <c r="A113" s="66" t="str">
        <f>IF(AND(Wände!A23&lt;&gt;"",LEN(Wände!A23)&lt;10),Wände!A23,"")</f>
        <v/>
      </c>
      <c r="B113" s="66" t="str">
        <f t="array" ref="B113">IF(ROWS(B$1:B113)&gt;SUMPRODUCT(--(A:A&lt;&gt;"")),"",INDEX(A:A,SMALL(IF(A$1:A$200&lt;&gt;"",ROW(A$1:A$200)),ROWS(B$1:B113))))</f>
        <v/>
      </c>
    </row>
    <row r="114" spans="1:2" x14ac:dyDescent="0.35">
      <c r="A114" s="66" t="str">
        <f>IF(AND(Wände!A24&lt;&gt;"",LEN(Wände!A24)&lt;10),Wände!A24,"")</f>
        <v/>
      </c>
      <c r="B114" s="66" t="str">
        <f t="array" ref="B114">IF(ROWS(B$1:B114)&gt;SUMPRODUCT(--(A:A&lt;&gt;"")),"",INDEX(A:A,SMALL(IF(A$1:A$200&lt;&gt;"",ROW(A$1:A$200)),ROWS(B$1:B114))))</f>
        <v/>
      </c>
    </row>
    <row r="115" spans="1:2" x14ac:dyDescent="0.35">
      <c r="A115" s="66" t="str">
        <f>IF(AND(Wände!A25&lt;&gt;"",LEN(Wände!A25)&lt;10),Wände!A25,"")</f>
        <v/>
      </c>
      <c r="B115" s="66" t="str">
        <f t="array" ref="B115">IF(ROWS(B$1:B115)&gt;SUMPRODUCT(--(A:A&lt;&gt;"")),"",INDEX(A:A,SMALL(IF(A$1:A$200&lt;&gt;"",ROW(A$1:A$200)),ROWS(B$1:B115))))</f>
        <v/>
      </c>
    </row>
    <row r="116" spans="1:2" x14ac:dyDescent="0.35">
      <c r="A116" s="66" t="str">
        <f>IF(AND(Wände!A26&lt;&gt;"",LEN(Wände!A26)&lt;10),Wände!A26,"")</f>
        <v/>
      </c>
      <c r="B116" s="66" t="str">
        <f t="array" ref="B116">IF(ROWS(B$1:B116)&gt;SUMPRODUCT(--(A:A&lt;&gt;"")),"",INDEX(A:A,SMALL(IF(A$1:A$200&lt;&gt;"",ROW(A$1:A$200)),ROWS(B$1:B116))))</f>
        <v/>
      </c>
    </row>
    <row r="117" spans="1:2" x14ac:dyDescent="0.35">
      <c r="A117" s="66" t="str">
        <f>IF(AND(Wände!A27&lt;&gt;"",LEN(Wände!A27)&lt;10),Wände!A27,"")</f>
        <v/>
      </c>
      <c r="B117" s="66" t="str">
        <f t="array" ref="B117">IF(ROWS(B$1:B117)&gt;SUMPRODUCT(--(A:A&lt;&gt;"")),"",INDEX(A:A,SMALL(IF(A$1:A$200&lt;&gt;"",ROW(A$1:A$200)),ROWS(B$1:B117))))</f>
        <v/>
      </c>
    </row>
    <row r="118" spans="1:2" x14ac:dyDescent="0.35">
      <c r="A118" s="66" t="str">
        <f>IF(AND(Wände!A28&lt;&gt;"",LEN(Wände!A28)&lt;10),Wände!A28,"")</f>
        <v/>
      </c>
      <c r="B118" s="66" t="str">
        <f t="array" ref="B118">IF(ROWS(B$1:B118)&gt;SUMPRODUCT(--(A:A&lt;&gt;"")),"",INDEX(A:A,SMALL(IF(A$1:A$200&lt;&gt;"",ROW(A$1:A$200)),ROWS(B$1:B118))))</f>
        <v/>
      </c>
    </row>
    <row r="119" spans="1:2" x14ac:dyDescent="0.35">
      <c r="A119" s="66" t="str">
        <f>IF(AND(Wände!A29&lt;&gt;"",LEN(Wände!A29)&lt;10),Wände!A29,"")</f>
        <v/>
      </c>
      <c r="B119" s="66" t="str">
        <f t="array" ref="B119">IF(ROWS(B$1:B119)&gt;SUMPRODUCT(--(A:A&lt;&gt;"")),"",INDEX(A:A,SMALL(IF(A$1:A$200&lt;&gt;"",ROW(A$1:A$200)),ROWS(B$1:B119))))</f>
        <v/>
      </c>
    </row>
    <row r="120" spans="1:2" x14ac:dyDescent="0.35">
      <c r="A120" s="66" t="str">
        <f>IF(AND(Wände!A30&lt;&gt;"",LEN(Wände!A30)&lt;10),Wände!A30,"")</f>
        <v/>
      </c>
      <c r="B120" s="66" t="str">
        <f t="array" ref="B120">IF(ROWS(B$1:B120)&gt;SUMPRODUCT(--(A:A&lt;&gt;"")),"",INDEX(A:A,SMALL(IF(A$1:A$200&lt;&gt;"",ROW(A$1:A$200)),ROWS(B$1:B120))))</f>
        <v/>
      </c>
    </row>
    <row r="121" spans="1:2" x14ac:dyDescent="0.35">
      <c r="A121" s="66" t="str">
        <f>IF(AND(Wände!A31&lt;&gt;"",LEN(Wände!A31)&lt;10),Wände!A31,"")</f>
        <v/>
      </c>
      <c r="B121" s="66" t="str">
        <f t="array" ref="B121">IF(ROWS(B$1:B121)&gt;SUMPRODUCT(--(A:A&lt;&gt;"")),"",INDEX(A:A,SMALL(IF(A$1:A$200&lt;&gt;"",ROW(A$1:A$200)),ROWS(B$1:B121))))</f>
        <v/>
      </c>
    </row>
    <row r="122" spans="1:2" x14ac:dyDescent="0.35">
      <c r="A122" s="66" t="str">
        <f>IF(AND(Wände!A32&lt;&gt;"",LEN(Wände!A32)&lt;10),Wände!A32,"")</f>
        <v/>
      </c>
      <c r="B122" s="66" t="str">
        <f t="array" ref="B122">IF(ROWS(B$1:B122)&gt;SUMPRODUCT(--(A:A&lt;&gt;"")),"",INDEX(A:A,SMALL(IF(A$1:A$200&lt;&gt;"",ROW(A$1:A$200)),ROWS(B$1:B122))))</f>
        <v/>
      </c>
    </row>
    <row r="123" spans="1:2" x14ac:dyDescent="0.35">
      <c r="A123" s="66" t="str">
        <f>IF(AND(Wände!A33&lt;&gt;"",LEN(Wände!A33)&lt;10),Wände!A33,"")</f>
        <v/>
      </c>
      <c r="B123" s="66" t="str">
        <f t="array" ref="B123">IF(ROWS(B$1:B123)&gt;SUMPRODUCT(--(A:A&lt;&gt;"")),"",INDEX(A:A,SMALL(IF(A$1:A$200&lt;&gt;"",ROW(A$1:A$200)),ROWS(B$1:B123))))</f>
        <v/>
      </c>
    </row>
    <row r="124" spans="1:2" x14ac:dyDescent="0.35">
      <c r="A124" s="66" t="str">
        <f>IF(AND(Wände!A34&lt;&gt;"",LEN(Wände!A34)&lt;10),Wände!A34,"")</f>
        <v/>
      </c>
      <c r="B124" s="66" t="str">
        <f t="array" ref="B124">IF(ROWS(B$1:B124)&gt;SUMPRODUCT(--(A:A&lt;&gt;"")),"",INDEX(A:A,SMALL(IF(A$1:A$200&lt;&gt;"",ROW(A$1:A$200)),ROWS(B$1:B124))))</f>
        <v/>
      </c>
    </row>
    <row r="125" spans="1:2" x14ac:dyDescent="0.35">
      <c r="A125" s="66" t="str">
        <f>IF(AND(Wände!A35&lt;&gt;"",LEN(Wände!A35)&lt;10),Wände!A35,"")</f>
        <v/>
      </c>
      <c r="B125" s="66" t="str">
        <f t="array" ref="B125">IF(ROWS(B$1:B125)&gt;SUMPRODUCT(--(A:A&lt;&gt;"")),"",INDEX(A:A,SMALL(IF(A$1:A$200&lt;&gt;"",ROW(A$1:A$200)),ROWS(B$1:B125))))</f>
        <v/>
      </c>
    </row>
    <row r="126" spans="1:2" x14ac:dyDescent="0.35">
      <c r="A126" s="66" t="str">
        <f>IF(AND(Wände!A36&lt;&gt;"",LEN(Wände!A36)&lt;10),Wände!A36,"")</f>
        <v/>
      </c>
      <c r="B126" s="66" t="str">
        <f t="array" ref="B126">IF(ROWS(B$1:B126)&gt;SUMPRODUCT(--(A:A&lt;&gt;"")),"",INDEX(A:A,SMALL(IF(A$1:A$200&lt;&gt;"",ROW(A$1:A$200)),ROWS(B$1:B126))))</f>
        <v/>
      </c>
    </row>
    <row r="127" spans="1:2" x14ac:dyDescent="0.35">
      <c r="A127" s="66" t="str">
        <f>IF(AND(Wände!A37&lt;&gt;"",LEN(Wände!A37)&lt;10),Wände!A37,"")</f>
        <v/>
      </c>
      <c r="B127" s="66" t="str">
        <f t="array" ref="B127">IF(ROWS(B$1:B127)&gt;SUMPRODUCT(--(A:A&lt;&gt;"")),"",INDEX(A:A,SMALL(IF(A$1:A$200&lt;&gt;"",ROW(A$1:A$200)),ROWS(B$1:B127))))</f>
        <v/>
      </c>
    </row>
    <row r="128" spans="1:2" x14ac:dyDescent="0.35">
      <c r="A128" s="66" t="str">
        <f>IF(AND(Wände!A38&lt;&gt;"",LEN(Wände!A38)&lt;10),Wände!A38,"")</f>
        <v/>
      </c>
      <c r="B128" s="66" t="str">
        <f t="array" ref="B128">IF(ROWS(B$1:B128)&gt;SUMPRODUCT(--(A:A&lt;&gt;"")),"",INDEX(A:A,SMALL(IF(A$1:A$200&lt;&gt;"",ROW(A$1:A$200)),ROWS(B$1:B128))))</f>
        <v/>
      </c>
    </row>
    <row r="129" spans="1:2" x14ac:dyDescent="0.35">
      <c r="A129" s="66" t="str">
        <f>IF(AND(Wände!A39&lt;&gt;"",LEN(Wände!A39)&lt;10),Wände!A39,"")</f>
        <v/>
      </c>
      <c r="B129" s="66" t="str">
        <f t="array" ref="B129">IF(ROWS(B$1:B129)&gt;SUMPRODUCT(--(A:A&lt;&gt;"")),"",INDEX(A:A,SMALL(IF(A$1:A$200&lt;&gt;"",ROW(A$1:A$200)),ROWS(B$1:B129))))</f>
        <v/>
      </c>
    </row>
    <row r="130" spans="1:2" x14ac:dyDescent="0.35">
      <c r="A130" s="66" t="str">
        <f>IF(AND(Wände!A40&lt;&gt;"",LEN(Wände!A40)&lt;10),Wände!A40,"")</f>
        <v/>
      </c>
      <c r="B130" s="66" t="str">
        <f t="array" ref="B130">IF(ROWS(B$1:B130)&gt;SUMPRODUCT(--(A:A&lt;&gt;"")),"",INDEX(A:A,SMALL(IF(A$1:A$200&lt;&gt;"",ROW(A$1:A$200)),ROWS(B$1:B130))))</f>
        <v/>
      </c>
    </row>
    <row r="131" spans="1:2" x14ac:dyDescent="0.35">
      <c r="A131" s="66" t="str">
        <f>IF(AND(Wände!A41&lt;&gt;"",LEN(Wände!A41)&lt;10),Wände!A41,"")</f>
        <v/>
      </c>
      <c r="B131" s="66" t="str">
        <f t="array" ref="B131">IF(ROWS(B$1:B131)&gt;SUMPRODUCT(--(A:A&lt;&gt;"")),"",INDEX(A:A,SMALL(IF(A$1:A$200&lt;&gt;"",ROW(A$1:A$200)),ROWS(B$1:B131))))</f>
        <v/>
      </c>
    </row>
    <row r="132" spans="1:2" x14ac:dyDescent="0.35">
      <c r="A132" s="66" t="str">
        <f>IF(AND(Wände!A42&lt;&gt;"",LEN(Wände!A42)&lt;10),Wände!A42,"")</f>
        <v/>
      </c>
      <c r="B132" s="66" t="str">
        <f t="array" ref="B132">IF(ROWS(B$1:B132)&gt;SUMPRODUCT(--(A:A&lt;&gt;"")),"",INDEX(A:A,SMALL(IF(A$1:A$200&lt;&gt;"",ROW(A$1:A$200)),ROWS(B$1:B132))))</f>
        <v/>
      </c>
    </row>
    <row r="133" spans="1:2" x14ac:dyDescent="0.35">
      <c r="A133" s="66" t="str">
        <f>IF(AND(Wände!A43&lt;&gt;"",LEN(Wände!A43)&lt;10),Wände!A43,"")</f>
        <v/>
      </c>
      <c r="B133" s="66" t="str">
        <f t="array" ref="B133">IF(ROWS(B$1:B133)&gt;SUMPRODUCT(--(A:A&lt;&gt;"")),"",INDEX(A:A,SMALL(IF(A$1:A$200&lt;&gt;"",ROW(A$1:A$200)),ROWS(B$1:B133))))</f>
        <v/>
      </c>
    </row>
    <row r="134" spans="1:2" x14ac:dyDescent="0.35">
      <c r="A134" s="66" t="str">
        <f>IF(AND(Wände!A44&lt;&gt;"",LEN(Wände!A44)&lt;10),Wände!A44,"")</f>
        <v/>
      </c>
      <c r="B134" s="66" t="str">
        <f t="array" ref="B134">IF(ROWS(B$1:B134)&gt;SUMPRODUCT(--(A:A&lt;&gt;"")),"",INDEX(A:A,SMALL(IF(A$1:A$200&lt;&gt;"",ROW(A$1:A$200)),ROWS(B$1:B134))))</f>
        <v/>
      </c>
    </row>
    <row r="135" spans="1:2" x14ac:dyDescent="0.35">
      <c r="A135" s="66" t="str">
        <f>IF(AND(Wände!A45&lt;&gt;"",LEN(Wände!A45)&lt;10),Wände!A45,"")</f>
        <v/>
      </c>
      <c r="B135" s="66" t="str">
        <f t="array" ref="B135">IF(ROWS(B$1:B135)&gt;SUMPRODUCT(--(A:A&lt;&gt;"")),"",INDEX(A:A,SMALL(IF(A$1:A$200&lt;&gt;"",ROW(A$1:A$200)),ROWS(B$1:B135))))</f>
        <v/>
      </c>
    </row>
    <row r="136" spans="1:2" x14ac:dyDescent="0.35">
      <c r="A136" s="66" t="str">
        <f>IF(AND(Wände!A46&lt;&gt;"",LEN(Wände!A46)&lt;10),Wände!A46,"")</f>
        <v/>
      </c>
      <c r="B136" s="66" t="str">
        <f t="array" ref="B136">IF(ROWS(B$1:B136)&gt;SUMPRODUCT(--(A:A&lt;&gt;"")),"",INDEX(A:A,SMALL(IF(A$1:A$200&lt;&gt;"",ROW(A$1:A$200)),ROWS(B$1:B136))))</f>
        <v/>
      </c>
    </row>
    <row r="137" spans="1:2" x14ac:dyDescent="0.35">
      <c r="A137" s="66" t="str">
        <f>IF(AND(Wände!A47&lt;&gt;"",LEN(Wände!A47)&lt;10),Wände!A47,"")</f>
        <v/>
      </c>
      <c r="B137" s="66" t="str">
        <f t="array" ref="B137">IF(ROWS(B$1:B137)&gt;SUMPRODUCT(--(A:A&lt;&gt;"")),"",INDEX(A:A,SMALL(IF(A$1:A$200&lt;&gt;"",ROW(A$1:A$200)),ROWS(B$1:B137))))</f>
        <v/>
      </c>
    </row>
    <row r="138" spans="1:2" x14ac:dyDescent="0.35">
      <c r="A138" s="66" t="str">
        <f>IF(AND(Wände!A48&lt;&gt;"",LEN(Wände!A48)&lt;10),Wände!A48,"")</f>
        <v/>
      </c>
      <c r="B138" s="66" t="str">
        <f t="array" ref="B138">IF(ROWS(B$1:B138)&gt;SUMPRODUCT(--(A:A&lt;&gt;"")),"",INDEX(A:A,SMALL(IF(A$1:A$200&lt;&gt;"",ROW(A$1:A$200)),ROWS(B$1:B138))))</f>
        <v/>
      </c>
    </row>
    <row r="139" spans="1:2" x14ac:dyDescent="0.35">
      <c r="A139" s="66" t="str">
        <f>IF(AND(Wände!A49&lt;&gt;"",LEN(Wände!A49)&lt;10),Wände!A49,"")</f>
        <v/>
      </c>
      <c r="B139" s="66" t="str">
        <f t="array" ref="B139">IF(ROWS(B$1:B139)&gt;SUMPRODUCT(--(A:A&lt;&gt;"")),"",INDEX(A:A,SMALL(IF(A$1:A$200&lt;&gt;"",ROW(A$1:A$200)),ROWS(B$1:B139))))</f>
        <v/>
      </c>
    </row>
    <row r="140" spans="1:2" x14ac:dyDescent="0.35">
      <c r="A140" s="66" t="str">
        <f>IF(AND(Wände!A50&lt;&gt;"",LEN(Wände!A50)&lt;10),Wände!A50,"")</f>
        <v/>
      </c>
      <c r="B140" s="66" t="str">
        <f t="array" ref="B140">IF(ROWS(B$1:B140)&gt;SUMPRODUCT(--(A:A&lt;&gt;"")),"",INDEX(A:A,SMALL(IF(A$1:A$200&lt;&gt;"",ROW(A$1:A$200)),ROWS(B$1:B140))))</f>
        <v/>
      </c>
    </row>
    <row r="141" spans="1:2" x14ac:dyDescent="0.35">
      <c r="A141" s="66" t="str">
        <f>IF(AND(Wände!A51&lt;&gt;"",LEN(Wände!A51)&lt;10),Wände!A51,"")</f>
        <v/>
      </c>
      <c r="B141" s="66" t="str">
        <f t="array" ref="B141">IF(ROWS(B$1:B141)&gt;SUMPRODUCT(--(A:A&lt;&gt;"")),"",INDEX(A:A,SMALL(IF(A$1:A$200&lt;&gt;"",ROW(A$1:A$200)),ROWS(B$1:B141))))</f>
        <v/>
      </c>
    </row>
    <row r="142" spans="1:2" x14ac:dyDescent="0.35">
      <c r="A142" s="66" t="str">
        <f>IF(AND(Wände!A52&lt;&gt;"",LEN(Wände!A52)&lt;10),Wände!A52,"")</f>
        <v/>
      </c>
      <c r="B142" s="66" t="str">
        <f t="array" ref="B142">IF(ROWS(B$1:B142)&gt;SUMPRODUCT(--(A:A&lt;&gt;"")),"",INDEX(A:A,SMALL(IF(A$1:A$200&lt;&gt;"",ROW(A$1:A$200)),ROWS(B$1:B142))))</f>
        <v/>
      </c>
    </row>
    <row r="143" spans="1:2" x14ac:dyDescent="0.35">
      <c r="A143" s="66" t="str">
        <f>IF(AND(Wände!A53&lt;&gt;"",LEN(Wände!A53)&lt;10),Wände!A53,"")</f>
        <v/>
      </c>
      <c r="B143" s="66" t="str">
        <f t="array" ref="B143">IF(ROWS(B$1:B143)&gt;SUMPRODUCT(--(A:A&lt;&gt;"")),"",INDEX(A:A,SMALL(IF(A$1:A$200&lt;&gt;"",ROW(A$1:A$200)),ROWS(B$1:B143))))</f>
        <v/>
      </c>
    </row>
    <row r="144" spans="1:2" x14ac:dyDescent="0.35">
      <c r="A144" s="66" t="str">
        <f>IF(AND(Wände!A54&lt;&gt;"",LEN(Wände!A54)&lt;10),Wände!A54,"")</f>
        <v/>
      </c>
      <c r="B144" s="66" t="str">
        <f t="array" ref="B144">IF(ROWS(B$1:B144)&gt;SUMPRODUCT(--(A:A&lt;&gt;"")),"",INDEX(A:A,SMALL(IF(A$1:A$200&lt;&gt;"",ROW(A$1:A$200)),ROWS(B$1:B144))))</f>
        <v/>
      </c>
    </row>
    <row r="145" spans="1:2" x14ac:dyDescent="0.35">
      <c r="A145" s="66" t="str">
        <f>IF(AND(Wände!A55&lt;&gt;"",LEN(Wände!A55)&lt;10),Wände!A55,"")</f>
        <v/>
      </c>
      <c r="B145" s="66" t="str">
        <f t="array" ref="B145">IF(ROWS(B$1:B145)&gt;SUMPRODUCT(--(A:A&lt;&gt;"")),"",INDEX(A:A,SMALL(IF(A$1:A$200&lt;&gt;"",ROW(A$1:A$200)),ROWS(B$1:B145))))</f>
        <v/>
      </c>
    </row>
    <row r="146" spans="1:2" x14ac:dyDescent="0.35">
      <c r="A146" s="66" t="str">
        <f>IF(AND(Wände!A56&lt;&gt;"",LEN(Wände!A56)&lt;10),Wände!A56,"")</f>
        <v/>
      </c>
      <c r="B146" s="66" t="str">
        <f t="array" ref="B146">IF(ROWS(B$1:B146)&gt;SUMPRODUCT(--(A:A&lt;&gt;"")),"",INDEX(A:A,SMALL(IF(A$1:A$200&lt;&gt;"",ROW(A$1:A$200)),ROWS(B$1:B146))))</f>
        <v/>
      </c>
    </row>
    <row r="147" spans="1:2" x14ac:dyDescent="0.35">
      <c r="A147" s="66" t="str">
        <f>IF(AND(Wände!A57&lt;&gt;"",LEN(Wände!A57)&lt;10),Wände!A57,"")</f>
        <v/>
      </c>
      <c r="B147" s="66" t="str">
        <f t="array" ref="B147">IF(ROWS(B$1:B147)&gt;SUMPRODUCT(--(A:A&lt;&gt;"")),"",INDEX(A:A,SMALL(IF(A$1:A$200&lt;&gt;"",ROW(A$1:A$200)),ROWS(B$1:B147))))</f>
        <v/>
      </c>
    </row>
    <row r="148" spans="1:2" x14ac:dyDescent="0.35">
      <c r="A148" s="66" t="str">
        <f>IF(AND(Wände!A58&lt;&gt;"",LEN(Wände!A58)&lt;10),Wände!A58,"")</f>
        <v/>
      </c>
      <c r="B148" s="66" t="str">
        <f t="array" ref="B148">IF(ROWS(B$1:B148)&gt;SUMPRODUCT(--(A:A&lt;&gt;"")),"",INDEX(A:A,SMALL(IF(A$1:A$200&lt;&gt;"",ROW(A$1:A$200)),ROWS(B$1:B148))))</f>
        <v/>
      </c>
    </row>
    <row r="149" spans="1:2" x14ac:dyDescent="0.35">
      <c r="A149" s="66" t="str">
        <f>IF(AND(Wände!A59&lt;&gt;"",LEN(Wände!A59)&lt;10),Wände!A59,"")</f>
        <v/>
      </c>
      <c r="B149" s="66" t="str">
        <f t="array" ref="B149">IF(ROWS(B$1:B149)&gt;SUMPRODUCT(--(A:A&lt;&gt;"")),"",INDEX(A:A,SMALL(IF(A$1:A$200&lt;&gt;"",ROW(A$1:A$200)),ROWS(B$1:B149))))</f>
        <v/>
      </c>
    </row>
    <row r="150" spans="1:2" x14ac:dyDescent="0.35">
      <c r="A150" s="66" t="str">
        <f>IF(AND(Wände!A60&lt;&gt;"",LEN(Wände!A60)&lt;10),Wände!A60,"")</f>
        <v/>
      </c>
      <c r="B150" s="66" t="str">
        <f t="array" ref="B150">IF(ROWS(B$1:B150)&gt;SUMPRODUCT(--(A:A&lt;&gt;"")),"",INDEX(A:A,SMALL(IF(A$1:A$200&lt;&gt;"",ROW(A$1:A$200)),ROWS(B$1:B150))))</f>
        <v/>
      </c>
    </row>
    <row r="151" spans="1:2" x14ac:dyDescent="0.35">
      <c r="A151" s="66" t="str">
        <f>IF(AND(Wände!A61&lt;&gt;"",LEN(Wände!A61)&lt;10),Wände!A61,"")</f>
        <v/>
      </c>
      <c r="B151" s="66" t="str">
        <f t="array" ref="B151">IF(ROWS(B$1:B151)&gt;SUMPRODUCT(--(A:A&lt;&gt;"")),"",INDEX(A:A,SMALL(IF(A$1:A$200&lt;&gt;"",ROW(A$1:A$200)),ROWS(B$1:B151))))</f>
        <v/>
      </c>
    </row>
    <row r="152" spans="1:2" x14ac:dyDescent="0.35">
      <c r="A152" s="66" t="str">
        <f>IF(AND(Wände!A62&lt;&gt;"",LEN(Wände!A62)&lt;10),Wände!A62,"")</f>
        <v/>
      </c>
      <c r="B152" s="66" t="str">
        <f t="array" ref="B152">IF(ROWS(B$1:B152)&gt;SUMPRODUCT(--(A:A&lt;&gt;"")),"",INDEX(A:A,SMALL(IF(A$1:A$200&lt;&gt;"",ROW(A$1:A$200)),ROWS(B$1:B152))))</f>
        <v/>
      </c>
    </row>
    <row r="153" spans="1:2" x14ac:dyDescent="0.35">
      <c r="A153" s="66" t="str">
        <f>IF(AND(Wände!A63&lt;&gt;"",LEN(Wände!A63)&lt;10),Wände!A63,"")</f>
        <v/>
      </c>
      <c r="B153" s="66" t="str">
        <f t="array" ref="B153">IF(ROWS(B$1:B153)&gt;SUMPRODUCT(--(A:A&lt;&gt;"")),"",INDEX(A:A,SMALL(IF(A$1:A$200&lt;&gt;"",ROW(A$1:A$200)),ROWS(B$1:B153))))</f>
        <v/>
      </c>
    </row>
    <row r="154" spans="1:2" x14ac:dyDescent="0.35">
      <c r="A154" s="66" t="str">
        <f>IF(AND(Wände!A64&lt;&gt;"",LEN(Wände!A64)&lt;10),Wände!A64,"")</f>
        <v/>
      </c>
      <c r="B154" s="66" t="str">
        <f t="array" ref="B154">IF(ROWS(B$1:B154)&gt;SUMPRODUCT(--(A:A&lt;&gt;"")),"",INDEX(A:A,SMALL(IF(A$1:A$200&lt;&gt;"",ROW(A$1:A$200)),ROWS(B$1:B154))))</f>
        <v/>
      </c>
    </row>
    <row r="155" spans="1:2" x14ac:dyDescent="0.35">
      <c r="A155" s="66" t="str">
        <f>IF(AND(Wände!A65&lt;&gt;"",LEN(Wände!A65)&lt;10),Wände!A65,"")</f>
        <v/>
      </c>
      <c r="B155" s="66" t="str">
        <f t="array" ref="B155">IF(ROWS(B$1:B155)&gt;SUMPRODUCT(--(A:A&lt;&gt;"")),"",INDEX(A:A,SMALL(IF(A$1:A$200&lt;&gt;"",ROW(A$1:A$200)),ROWS(B$1:B155))))</f>
        <v/>
      </c>
    </row>
    <row r="156" spans="1:2" x14ac:dyDescent="0.35">
      <c r="A156" s="66" t="str">
        <f>IF(AND(Wände!A66&lt;&gt;"",LEN(Wände!A66)&lt;10),Wände!A66,"")</f>
        <v/>
      </c>
      <c r="B156" s="66" t="str">
        <f t="array" ref="B156">IF(ROWS(B$1:B156)&gt;SUMPRODUCT(--(A:A&lt;&gt;"")),"",INDEX(A:A,SMALL(IF(A$1:A$200&lt;&gt;"",ROW(A$1:A$200)),ROWS(B$1:B156))))</f>
        <v/>
      </c>
    </row>
    <row r="157" spans="1:2" x14ac:dyDescent="0.35">
      <c r="A157" s="66" t="str">
        <f>IF(AND(Wände!A67&lt;&gt;"",LEN(Wände!A67)&lt;10),Wände!A67,"")</f>
        <v/>
      </c>
      <c r="B157" s="66" t="str">
        <f t="array" ref="B157">IF(ROWS(B$1:B157)&gt;SUMPRODUCT(--(A:A&lt;&gt;"")),"",INDEX(A:A,SMALL(IF(A$1:A$200&lt;&gt;"",ROW(A$1:A$200)),ROWS(B$1:B157))))</f>
        <v/>
      </c>
    </row>
    <row r="158" spans="1:2" x14ac:dyDescent="0.35">
      <c r="A158" s="66" t="str">
        <f>IF(AND(Wände!A68&lt;&gt;"",LEN(Wände!A68)&lt;10),Wände!A68,"")</f>
        <v/>
      </c>
      <c r="B158" s="66" t="str">
        <f t="array" ref="B158">IF(ROWS(B$1:B158)&gt;SUMPRODUCT(--(A:A&lt;&gt;"")),"",INDEX(A:A,SMALL(IF(A$1:A$200&lt;&gt;"",ROW(A$1:A$200)),ROWS(B$1:B158))))</f>
        <v/>
      </c>
    </row>
    <row r="159" spans="1:2" x14ac:dyDescent="0.35">
      <c r="A159" s="66" t="str">
        <f>IF(AND(Wände!A69&lt;&gt;"",LEN(Wände!A69)&lt;10),Wände!A69,"")</f>
        <v/>
      </c>
      <c r="B159" s="66" t="str">
        <f t="array" ref="B159">IF(ROWS(B$1:B159)&gt;SUMPRODUCT(--(A:A&lt;&gt;"")),"",INDEX(A:A,SMALL(IF(A$1:A$200&lt;&gt;"",ROW(A$1:A$200)),ROWS(B$1:B159))))</f>
        <v/>
      </c>
    </row>
    <row r="160" spans="1:2" x14ac:dyDescent="0.35">
      <c r="A160" s="66" t="str">
        <f>IF(AND(Wände!A70&lt;&gt;"",LEN(Wände!A70)&lt;10),Wände!A70,"")</f>
        <v/>
      </c>
      <c r="B160" s="66" t="str">
        <f t="array" ref="B160">IF(ROWS(B$1:B160)&gt;SUMPRODUCT(--(A:A&lt;&gt;"")),"",INDEX(A:A,SMALL(IF(A$1:A$200&lt;&gt;"",ROW(A$1:A$200)),ROWS(B$1:B160))))</f>
        <v/>
      </c>
    </row>
    <row r="161" spans="1:2" x14ac:dyDescent="0.35">
      <c r="A161" s="66" t="str">
        <f>IF(AND(Wände!A71&lt;&gt;"",LEN(Wände!A71)&lt;10),Wände!A71,"")</f>
        <v/>
      </c>
      <c r="B161" s="66" t="str">
        <f t="array" ref="B161">IF(ROWS(B$1:B161)&gt;SUMPRODUCT(--(A:A&lt;&gt;"")),"",INDEX(A:A,SMALL(IF(A$1:A$200&lt;&gt;"",ROW(A$1:A$200)),ROWS(B$1:B161))))</f>
        <v/>
      </c>
    </row>
    <row r="162" spans="1:2" x14ac:dyDescent="0.35">
      <c r="A162" s="66" t="str">
        <f>IF(AND(Wände!A72&lt;&gt;"",LEN(Wände!A72)&lt;10),Wände!A72,"")</f>
        <v/>
      </c>
      <c r="B162" s="66" t="str">
        <f t="array" ref="B162">IF(ROWS(B$1:B162)&gt;SUMPRODUCT(--(A:A&lt;&gt;"")),"",INDEX(A:A,SMALL(IF(A$1:A$200&lt;&gt;"",ROW(A$1:A$200)),ROWS(B$1:B162))))</f>
        <v/>
      </c>
    </row>
    <row r="163" spans="1:2" x14ac:dyDescent="0.35">
      <c r="A163" s="66" t="str">
        <f>IF(AND(Wände!A73&lt;&gt;"",LEN(Wände!A73)&lt;10),Wände!A73,"")</f>
        <v/>
      </c>
      <c r="B163" s="66" t="str">
        <f t="array" ref="B163">IF(ROWS(B$1:B163)&gt;SUMPRODUCT(--(A:A&lt;&gt;"")),"",INDEX(A:A,SMALL(IF(A$1:A$200&lt;&gt;"",ROW(A$1:A$200)),ROWS(B$1:B163))))</f>
        <v/>
      </c>
    </row>
    <row r="164" spans="1:2" x14ac:dyDescent="0.35">
      <c r="A164" s="66" t="str">
        <f>IF(AND(Wände!A74&lt;&gt;"",LEN(Wände!A74)&lt;10),Wände!A74,"")</f>
        <v/>
      </c>
      <c r="B164" s="66" t="str">
        <f t="array" ref="B164">IF(ROWS(B$1:B164)&gt;SUMPRODUCT(--(A:A&lt;&gt;"")),"",INDEX(A:A,SMALL(IF(A$1:A$200&lt;&gt;"",ROW(A$1:A$200)),ROWS(B$1:B164))))</f>
        <v/>
      </c>
    </row>
    <row r="165" spans="1:2" x14ac:dyDescent="0.35">
      <c r="A165" s="66" t="str">
        <f>IF(AND(Wände!A75&lt;&gt;"",LEN(Wände!A75)&lt;10),Wände!A75,"")</f>
        <v/>
      </c>
      <c r="B165" s="66" t="str">
        <f t="array" ref="B165">IF(ROWS(B$1:B165)&gt;SUMPRODUCT(--(A:A&lt;&gt;"")),"",INDEX(A:A,SMALL(IF(A$1:A$200&lt;&gt;"",ROW(A$1:A$200)),ROWS(B$1:B165))))</f>
        <v/>
      </c>
    </row>
    <row r="166" spans="1:2" x14ac:dyDescent="0.35">
      <c r="A166" s="66" t="str">
        <f>IF(AND(Wände!A76&lt;&gt;"",LEN(Wände!A76)&lt;10),Wände!A76,"")</f>
        <v/>
      </c>
      <c r="B166" s="66" t="str">
        <f t="array" ref="B166">IF(ROWS(B$1:B166)&gt;SUMPRODUCT(--(A:A&lt;&gt;"")),"",INDEX(A:A,SMALL(IF(A$1:A$200&lt;&gt;"",ROW(A$1:A$200)),ROWS(B$1:B166))))</f>
        <v/>
      </c>
    </row>
    <row r="167" spans="1:2" x14ac:dyDescent="0.35">
      <c r="A167" s="66" t="str">
        <f>IF(AND(Wände!A77&lt;&gt;"",LEN(Wände!A77)&lt;10),Wände!A77,"")</f>
        <v/>
      </c>
      <c r="B167" s="66" t="str">
        <f t="array" ref="B167">IF(ROWS(B$1:B167)&gt;SUMPRODUCT(--(A:A&lt;&gt;"")),"",INDEX(A:A,SMALL(IF(A$1:A$200&lt;&gt;"",ROW(A$1:A$200)),ROWS(B$1:B167))))</f>
        <v/>
      </c>
    </row>
    <row r="168" spans="1:2" x14ac:dyDescent="0.35">
      <c r="A168" s="66" t="str">
        <f>IF(AND(Wände!A78&lt;&gt;"",LEN(Wände!A78)&lt;10),Wände!A78,"")</f>
        <v/>
      </c>
      <c r="B168" s="66" t="str">
        <f t="array" ref="B168">IF(ROWS(B$1:B168)&gt;SUMPRODUCT(--(A:A&lt;&gt;"")),"",INDEX(A:A,SMALL(IF(A$1:A$200&lt;&gt;"",ROW(A$1:A$200)),ROWS(B$1:B168))))</f>
        <v/>
      </c>
    </row>
    <row r="169" spans="1:2" x14ac:dyDescent="0.35">
      <c r="A169" s="66" t="str">
        <f>IF(AND(Wände!A79&lt;&gt;"",LEN(Wände!A79)&lt;10),Wände!A79,"")</f>
        <v/>
      </c>
      <c r="B169" s="66" t="str">
        <f t="array" ref="B169">IF(ROWS(B$1:B169)&gt;SUMPRODUCT(--(A:A&lt;&gt;"")),"",INDEX(A:A,SMALL(IF(A$1:A$200&lt;&gt;"",ROW(A$1:A$200)),ROWS(B$1:B169))))</f>
        <v/>
      </c>
    </row>
    <row r="170" spans="1:2" x14ac:dyDescent="0.35">
      <c r="A170" s="66" t="str">
        <f>IF(AND(Wände!A80&lt;&gt;"",LEN(Wände!A80)&lt;10),Wände!A80,"")</f>
        <v/>
      </c>
      <c r="B170" s="66" t="str">
        <f t="array" ref="B170">IF(ROWS(B$1:B170)&gt;SUMPRODUCT(--(A:A&lt;&gt;"")),"",INDEX(A:A,SMALL(IF(A$1:A$200&lt;&gt;"",ROW(A$1:A$200)),ROWS(B$1:B170))))</f>
        <v/>
      </c>
    </row>
    <row r="171" spans="1:2" x14ac:dyDescent="0.35">
      <c r="A171" s="66" t="str">
        <f>IF(AND(Wände!A81&lt;&gt;"",LEN(Wände!A81)&lt;10),Wände!A81,"")</f>
        <v/>
      </c>
      <c r="B171" s="66" t="str">
        <f t="array" ref="B171">IF(ROWS(B$1:B171)&gt;SUMPRODUCT(--(A:A&lt;&gt;"")),"",INDEX(A:A,SMALL(IF(A$1:A$200&lt;&gt;"",ROW(A$1:A$200)),ROWS(B$1:B171))))</f>
        <v/>
      </c>
    </row>
    <row r="172" spans="1:2" x14ac:dyDescent="0.35">
      <c r="A172" s="66" t="str">
        <f>IF(AND(Wände!A82&lt;&gt;"",LEN(Wände!A82)&lt;10),Wände!A82,"")</f>
        <v/>
      </c>
      <c r="B172" s="66" t="str">
        <f t="array" ref="B172">IF(ROWS(B$1:B172)&gt;SUMPRODUCT(--(A:A&lt;&gt;"")),"",INDEX(A:A,SMALL(IF(A$1:A$200&lt;&gt;"",ROW(A$1:A$200)),ROWS(B$1:B172))))</f>
        <v/>
      </c>
    </row>
    <row r="173" spans="1:2" x14ac:dyDescent="0.35">
      <c r="A173" s="66" t="str">
        <f>IF(AND(Wände!A83&lt;&gt;"",LEN(Wände!A83)&lt;10),Wände!A83,"")</f>
        <v/>
      </c>
      <c r="B173" s="66" t="str">
        <f t="array" ref="B173">IF(ROWS(B$1:B173)&gt;SUMPRODUCT(--(A:A&lt;&gt;"")),"",INDEX(A:A,SMALL(IF(A$1:A$200&lt;&gt;"",ROW(A$1:A$200)),ROWS(B$1:B173))))</f>
        <v/>
      </c>
    </row>
    <row r="174" spans="1:2" x14ac:dyDescent="0.35">
      <c r="A174" s="66" t="str">
        <f>IF(AND(Wände!A84&lt;&gt;"",LEN(Wände!A84)&lt;10),Wände!A84,"")</f>
        <v/>
      </c>
      <c r="B174" s="66" t="str">
        <f t="array" ref="B174">IF(ROWS(B$1:B174)&gt;SUMPRODUCT(--(A:A&lt;&gt;"")),"",INDEX(A:A,SMALL(IF(A$1:A$200&lt;&gt;"",ROW(A$1:A$200)),ROWS(B$1:B174))))</f>
        <v/>
      </c>
    </row>
    <row r="175" spans="1:2" x14ac:dyDescent="0.35">
      <c r="A175" s="66" t="str">
        <f>IF(AND(Wände!A85&lt;&gt;"",LEN(Wände!A85)&lt;10),Wände!A85,"")</f>
        <v/>
      </c>
      <c r="B175" s="66" t="str">
        <f t="array" ref="B175">IF(ROWS(B$1:B175)&gt;SUMPRODUCT(--(A:A&lt;&gt;"")),"",INDEX(A:A,SMALL(IF(A$1:A$200&lt;&gt;"",ROW(A$1:A$200)),ROWS(B$1:B175))))</f>
        <v/>
      </c>
    </row>
    <row r="176" spans="1:2" x14ac:dyDescent="0.35">
      <c r="A176" s="66" t="str">
        <f>IF(AND(Wände!A86&lt;&gt;"",LEN(Wände!A86)&lt;10),Wände!A86,"")</f>
        <v/>
      </c>
      <c r="B176" s="66" t="str">
        <f t="array" ref="B176">IF(ROWS(B$1:B176)&gt;SUMPRODUCT(--(A:A&lt;&gt;"")),"",INDEX(A:A,SMALL(IF(A$1:A$200&lt;&gt;"",ROW(A$1:A$200)),ROWS(B$1:B176))))</f>
        <v/>
      </c>
    </row>
    <row r="177" spans="1:2" x14ac:dyDescent="0.35">
      <c r="A177" s="66" t="str">
        <f>IF(AND(Wände!A87&lt;&gt;"",LEN(Wände!A87)&lt;10),Wände!A87,"")</f>
        <v/>
      </c>
      <c r="B177" s="66" t="str">
        <f t="array" ref="B177">IF(ROWS(B$1:B177)&gt;SUMPRODUCT(--(A:A&lt;&gt;"")),"",INDEX(A:A,SMALL(IF(A$1:A$200&lt;&gt;"",ROW(A$1:A$200)),ROWS(B$1:B177))))</f>
        <v/>
      </c>
    </row>
    <row r="178" spans="1:2" x14ac:dyDescent="0.35">
      <c r="A178" s="66" t="str">
        <f>IF(AND(Wände!A88&lt;&gt;"",LEN(Wände!A88)&lt;10),Wände!A88,"")</f>
        <v/>
      </c>
      <c r="B178" s="66" t="str">
        <f t="array" ref="B178">IF(ROWS(B$1:B178)&gt;SUMPRODUCT(--(A:A&lt;&gt;"")),"",INDEX(A:A,SMALL(IF(A$1:A$200&lt;&gt;"",ROW(A$1:A$200)),ROWS(B$1:B178))))</f>
        <v/>
      </c>
    </row>
    <row r="179" spans="1:2" x14ac:dyDescent="0.35">
      <c r="A179" s="66" t="str">
        <f>IF(AND(Wände!A89&lt;&gt;"",LEN(Wände!A89)&lt;10),Wände!A89,"")</f>
        <v/>
      </c>
      <c r="B179" s="66" t="str">
        <f t="array" ref="B179">IF(ROWS(B$1:B179)&gt;SUMPRODUCT(--(A:A&lt;&gt;"")),"",INDEX(A:A,SMALL(IF(A$1:A$200&lt;&gt;"",ROW(A$1:A$200)),ROWS(B$1:B179))))</f>
        <v/>
      </c>
    </row>
    <row r="180" spans="1:2" x14ac:dyDescent="0.35">
      <c r="A180" s="66" t="str">
        <f>IF(AND(Wände!A90&lt;&gt;"",LEN(Wände!A90)&lt;10),Wände!A90,"")</f>
        <v/>
      </c>
      <c r="B180" s="66" t="str">
        <f t="array" ref="B180">IF(ROWS(B$1:B180)&gt;SUMPRODUCT(--(A:A&lt;&gt;"")),"",INDEX(A:A,SMALL(IF(A$1:A$200&lt;&gt;"",ROW(A$1:A$200)),ROWS(B$1:B180))))</f>
        <v/>
      </c>
    </row>
    <row r="181" spans="1:2" x14ac:dyDescent="0.35">
      <c r="A181" s="66" t="str">
        <f>IF(AND(Wände!A91&lt;&gt;"",LEN(Wände!A91)&lt;10),Wände!A91,"")</f>
        <v/>
      </c>
      <c r="B181" s="66" t="str">
        <f t="array" ref="B181">IF(ROWS(B$1:B181)&gt;SUMPRODUCT(--(A:A&lt;&gt;"")),"",INDEX(A:A,SMALL(IF(A$1:A$200&lt;&gt;"",ROW(A$1:A$200)),ROWS(B$1:B181))))</f>
        <v/>
      </c>
    </row>
    <row r="182" spans="1:2" x14ac:dyDescent="0.35">
      <c r="A182" s="66" t="str">
        <f>IF(AND(Wände!A92&lt;&gt;"",LEN(Wände!A92)&lt;10),Wände!A92,"")</f>
        <v/>
      </c>
      <c r="B182" s="66" t="str">
        <f t="array" ref="B182">IF(ROWS(B$1:B182)&gt;SUMPRODUCT(--(A:A&lt;&gt;"")),"",INDEX(A:A,SMALL(IF(A$1:A$200&lt;&gt;"",ROW(A$1:A$200)),ROWS(B$1:B182))))</f>
        <v/>
      </c>
    </row>
    <row r="183" spans="1:2" x14ac:dyDescent="0.35">
      <c r="A183" s="66" t="str">
        <f>IF(AND(Wände!A93&lt;&gt;"",LEN(Wände!A93)&lt;10),Wände!A93,"")</f>
        <v/>
      </c>
      <c r="B183" s="66" t="str">
        <f t="array" ref="B183">IF(ROWS(B$1:B183)&gt;SUMPRODUCT(--(A:A&lt;&gt;"")),"",INDEX(A:A,SMALL(IF(A$1:A$200&lt;&gt;"",ROW(A$1:A$200)),ROWS(B$1:B183))))</f>
        <v/>
      </c>
    </row>
    <row r="184" spans="1:2" x14ac:dyDescent="0.35">
      <c r="A184" s="66" t="str">
        <f>IF(AND(Wände!A94&lt;&gt;"",LEN(Wände!A94)&lt;10),Wände!A94,"")</f>
        <v/>
      </c>
      <c r="B184" s="66" t="str">
        <f t="array" ref="B184">IF(ROWS(B$1:B184)&gt;SUMPRODUCT(--(A:A&lt;&gt;"")),"",INDEX(A:A,SMALL(IF(A$1:A$200&lt;&gt;"",ROW(A$1:A$200)),ROWS(B$1:B184))))</f>
        <v/>
      </c>
    </row>
    <row r="185" spans="1:2" x14ac:dyDescent="0.35">
      <c r="A185" s="66" t="str">
        <f>IF(AND(Wände!A95&lt;&gt;"",LEN(Wände!A95)&lt;10),Wände!A95,"")</f>
        <v/>
      </c>
      <c r="B185" s="66" t="str">
        <f t="array" ref="B185">IF(ROWS(B$1:B185)&gt;SUMPRODUCT(--(A:A&lt;&gt;"")),"",INDEX(A:A,SMALL(IF(A$1:A$200&lt;&gt;"",ROW(A$1:A$200)),ROWS(B$1:B185))))</f>
        <v/>
      </c>
    </row>
    <row r="186" spans="1:2" x14ac:dyDescent="0.35">
      <c r="A186" s="66" t="str">
        <f>IF(AND(Wände!A96&lt;&gt;"",LEN(Wände!A96)&lt;10),Wände!A96,"")</f>
        <v/>
      </c>
      <c r="B186" s="66" t="str">
        <f t="array" ref="B186">IF(ROWS(B$1:B186)&gt;SUMPRODUCT(--(A:A&lt;&gt;"")),"",INDEX(A:A,SMALL(IF(A$1:A$200&lt;&gt;"",ROW(A$1:A$200)),ROWS(B$1:B186))))</f>
        <v/>
      </c>
    </row>
    <row r="187" spans="1:2" x14ac:dyDescent="0.35">
      <c r="A187" s="66" t="str">
        <f>IF(AND(Wände!A97&lt;&gt;"",LEN(Wände!A97)&lt;10),Wände!A97,"")</f>
        <v/>
      </c>
      <c r="B187" s="66" t="str">
        <f t="array" ref="B187">IF(ROWS(B$1:B187)&gt;SUMPRODUCT(--(A:A&lt;&gt;"")),"",INDEX(A:A,SMALL(IF(A$1:A$200&lt;&gt;"",ROW(A$1:A$200)),ROWS(B$1:B187))))</f>
        <v/>
      </c>
    </row>
    <row r="188" spans="1:2" x14ac:dyDescent="0.35">
      <c r="A188" s="66" t="str">
        <f>IF(AND(Wände!A98&lt;&gt;"",LEN(Wände!A98)&lt;10),Wände!A98,"")</f>
        <v/>
      </c>
      <c r="B188" s="66" t="str">
        <f t="array" ref="B188">IF(ROWS(B$1:B188)&gt;SUMPRODUCT(--(A:A&lt;&gt;"")),"",INDEX(A:A,SMALL(IF(A$1:A$200&lt;&gt;"",ROW(A$1:A$200)),ROWS(B$1:B188))))</f>
        <v/>
      </c>
    </row>
    <row r="189" spans="1:2" x14ac:dyDescent="0.35">
      <c r="A189" s="66" t="str">
        <f>IF(AND(Wände!A99&lt;&gt;"",LEN(Wände!A99)&lt;10),Wände!A99,"")</f>
        <v/>
      </c>
      <c r="B189" s="66" t="str">
        <f t="array" ref="B189">IF(ROWS(B$1:B189)&gt;SUMPRODUCT(--(A:A&lt;&gt;"")),"",INDEX(A:A,SMALL(IF(A$1:A$200&lt;&gt;"",ROW(A$1:A$200)),ROWS(B$1:B189))))</f>
        <v/>
      </c>
    </row>
    <row r="190" spans="1:2" x14ac:dyDescent="0.35">
      <c r="A190" s="66" t="str">
        <f>IF(AND(Wände!A100&lt;&gt;"",LEN(Wände!A100)&lt;10),Wände!A100,"")</f>
        <v/>
      </c>
      <c r="B190" s="66" t="str">
        <f t="array" ref="B190">IF(ROWS(B$1:B190)&gt;SUMPRODUCT(--(A:A&lt;&gt;"")),"",INDEX(A:A,SMALL(IF(A$1:A$200&lt;&gt;"",ROW(A$1:A$200)),ROWS(B$1:B190))))</f>
        <v/>
      </c>
    </row>
    <row r="191" spans="1:2" x14ac:dyDescent="0.35">
      <c r="A191" s="66" t="str">
        <f>IF(AND(Wände!A101&lt;&gt;"",LEN(Wände!A101)&lt;10),Wände!A101,"")</f>
        <v/>
      </c>
      <c r="B191" s="66" t="str">
        <f t="array" ref="B191">IF(ROWS(B$1:B191)&gt;SUMPRODUCT(--(A:A&lt;&gt;"")),"",INDEX(A:A,SMALL(IF(A$1:A$200&lt;&gt;"",ROW(A$1:A$200)),ROWS(B$1:B191))))</f>
        <v/>
      </c>
    </row>
    <row r="192" spans="1:2" x14ac:dyDescent="0.35">
      <c r="A192" s="66" t="str">
        <f>IF(AND(Wände!A102&lt;&gt;"",LEN(Wände!A102)&lt;10),Wände!A102,"")</f>
        <v/>
      </c>
      <c r="B192" s="66" t="str">
        <f t="array" ref="B192">IF(ROWS(B$1:B192)&gt;SUMPRODUCT(--(A:A&lt;&gt;"")),"",INDEX(A:A,SMALL(IF(A$1:A$200&lt;&gt;"",ROW(A$1:A$200)),ROWS(B$1:B192))))</f>
        <v/>
      </c>
    </row>
    <row r="193" spans="1:2" x14ac:dyDescent="0.35">
      <c r="A193" s="66" t="str">
        <f>IF(AND(Wände!A103&lt;&gt;"",LEN(Wände!A103)&lt;10),Wände!A103,"")</f>
        <v/>
      </c>
      <c r="B193" s="66" t="str">
        <f t="array" ref="B193">IF(ROWS(B$1:B193)&gt;SUMPRODUCT(--(A:A&lt;&gt;"")),"",INDEX(A:A,SMALL(IF(A$1:A$200&lt;&gt;"",ROW(A$1:A$200)),ROWS(B$1:B193))))</f>
        <v/>
      </c>
    </row>
    <row r="194" spans="1:2" x14ac:dyDescent="0.35">
      <c r="A194" s="66" t="str">
        <f>IF(AND(Wände!A104&lt;&gt;"",LEN(Wände!A104)&lt;10),Wände!A104,"")</f>
        <v/>
      </c>
      <c r="B194" s="66" t="str">
        <f t="array" ref="B194">IF(ROWS(B$1:B194)&gt;SUMPRODUCT(--(A:A&lt;&gt;"")),"",INDEX(A:A,SMALL(IF(A$1:A$200&lt;&gt;"",ROW(A$1:A$200)),ROWS(B$1:B194))))</f>
        <v/>
      </c>
    </row>
    <row r="195" spans="1:2" x14ac:dyDescent="0.35">
      <c r="A195" s="66" t="str">
        <f>IF(AND(Wände!A105&lt;&gt;"",LEN(Wände!A105)&lt;10),Wände!A105,"")</f>
        <v/>
      </c>
      <c r="B195" s="66" t="str">
        <f t="array" ref="B195">IF(ROWS(B$1:B195)&gt;SUMPRODUCT(--(A:A&lt;&gt;"")),"",INDEX(A:A,SMALL(IF(A$1:A$200&lt;&gt;"",ROW(A$1:A$200)),ROWS(B$1:B195))))</f>
        <v/>
      </c>
    </row>
    <row r="196" spans="1:2" x14ac:dyDescent="0.35">
      <c r="A196" s="66" t="str">
        <f>IF(AND(Wände!A106&lt;&gt;"",LEN(Wände!A106)&lt;10),Wände!A106,"")</f>
        <v/>
      </c>
      <c r="B196" s="66" t="str">
        <f t="array" ref="B196">IF(ROWS(B$1:B196)&gt;SUMPRODUCT(--(A:A&lt;&gt;"")),"",INDEX(A:A,SMALL(IF(A$1:A$200&lt;&gt;"",ROW(A$1:A$200)),ROWS(B$1:B196))))</f>
        <v/>
      </c>
    </row>
    <row r="197" spans="1:2" x14ac:dyDescent="0.35">
      <c r="A197" s="66" t="str">
        <f>IF(AND(Wände!A107&lt;&gt;"",LEN(Wände!A107)&lt;10),Wände!A107,"")</f>
        <v/>
      </c>
      <c r="B197" s="66" t="str">
        <f t="array" ref="B197">IF(ROWS(B$1:B197)&gt;SUMPRODUCT(--(A:A&lt;&gt;"")),"",INDEX(A:A,SMALL(IF(A$1:A$200&lt;&gt;"",ROW(A$1:A$200)),ROWS(B$1:B197))))</f>
        <v/>
      </c>
    </row>
    <row r="198" spans="1:2" x14ac:dyDescent="0.35">
      <c r="A198" s="66" t="str">
        <f>IF(AND(Wände!A108&lt;&gt;"",LEN(Wände!A108)&lt;10),Wände!A108,"")</f>
        <v/>
      </c>
      <c r="B198" s="66" t="str">
        <f t="array" ref="B198">IF(ROWS(B$1:B198)&gt;SUMPRODUCT(--(A:A&lt;&gt;"")),"",INDEX(A:A,SMALL(IF(A$1:A$200&lt;&gt;"",ROW(A$1:A$200)),ROWS(B$1:B198))))</f>
        <v/>
      </c>
    </row>
    <row r="199" spans="1:2" x14ac:dyDescent="0.35">
      <c r="A199" s="66" t="str">
        <f>IF(AND(Wände!A109&lt;&gt;"",LEN(Wände!A109)&lt;10),Wände!A109,"")</f>
        <v/>
      </c>
      <c r="B199" s="66" t="str">
        <f t="array" ref="B199">IF(ROWS(B$1:B199)&gt;SUMPRODUCT(--(A:A&lt;&gt;"")),"",INDEX(A:A,SMALL(IF(A$1:A$200&lt;&gt;"",ROW(A$1:A$200)),ROWS(B$1:B199))))</f>
        <v/>
      </c>
    </row>
    <row r="200" spans="1:2" x14ac:dyDescent="0.35">
      <c r="A200" s="66" t="str">
        <f>IF(AND(Wände!A110&lt;&gt;"",LEN(Wände!A110)&lt;10),Wände!A110,"")</f>
        <v/>
      </c>
      <c r="B200" s="66" t="str">
        <f t="array" ref="B200">IF(ROWS(B$1:B200)&gt;SUMPRODUCT(--(A:A&lt;&gt;"")),"",INDEX(A:A,SMALL(IF(A$1:A$200&lt;&gt;"",ROW(A$1:A$200)),ROWS(B$1:B200))))</f>
        <v/>
      </c>
    </row>
  </sheetData>
  <sheetCalcPr fullCalcOnLoad="1"/>
  <dataValidations count="1">
    <dataValidation type="list" allowBlank="1" showInputMessage="1" showErrorMessage="1" sqref="C1" xr:uid="{7EC124D0-153C-4753-8213-617347229EED}">
      <formula1>WallOpeningParentCodes</formula1>
    </dataValidation>
  </dataValidation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1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86</vt:i4>
      </vt:variant>
    </vt:vector>
  </HeadingPairs>
  <TitlesOfParts>
    <vt:vector size="109" baseType="lpstr">
      <vt:lpstr>Projekt</vt:lpstr>
      <vt:lpstr>Gebäudenutzungen</vt:lpstr>
      <vt:lpstr>Dächer und Decken</vt:lpstr>
      <vt:lpstr>Wände</vt:lpstr>
      <vt:lpstr>Fenster und Türen</vt:lpstr>
      <vt:lpstr>Böden</vt:lpstr>
      <vt:lpstr>Wärmebrücken</vt:lpstr>
      <vt:lpstr>Wärmeerzeuger</vt:lpstr>
      <vt:lpstr>Speicher</vt:lpstr>
      <vt:lpstr>Versorgter Bereich Heizung</vt:lpstr>
      <vt:lpstr>Versorgter Bereich Warmwasser</vt:lpstr>
      <vt:lpstr>Verbrauchsdaten HWW</vt:lpstr>
      <vt:lpstr>Geräte und Installationen</vt:lpstr>
      <vt:lpstr>Kleingeräte und Elektronik</vt:lpstr>
      <vt:lpstr>Beleuchtung</vt:lpstr>
      <vt:lpstr>Betriebseinrichtungen und Gerät</vt:lpstr>
      <vt:lpstr>Elektrizitätsprod. ohne PVopti</vt:lpstr>
      <vt:lpstr>Elektrizitätsprod. mit PVopti</vt:lpstr>
      <vt:lpstr>Weitere Verbraucher</vt:lpstr>
      <vt:lpstr>Verbrauchsdaten Elektrizität</vt:lpstr>
      <vt:lpstr>Lüftung</vt:lpstr>
      <vt:lpstr>DropDownData</vt:lpstr>
      <vt:lpstr>WallOpeningParents</vt:lpstr>
      <vt:lpstr>BasementHeatingLevel</vt:lpstr>
      <vt:lpstr>BestKnownWeatherStations</vt:lpstr>
      <vt:lpstr>Boolean</vt:lpstr>
      <vt:lpstr>BuildingUsageSubTypes</vt:lpstr>
      <vt:lpstr>BuildingUsageTypes</vt:lpstr>
      <vt:lpstr>BuildingUsageTypeSelection</vt:lpstr>
      <vt:lpstr>BüroVerwaltung</vt:lpstr>
      <vt:lpstr>CalculationBase_NoMeter</vt:lpstr>
      <vt:lpstr>CalculationBase_OnlyLump</vt:lpstr>
      <vt:lpstr>ConstructionType</vt:lpstr>
      <vt:lpstr>ConsumerMeterType</vt:lpstr>
      <vt:lpstr>DeviceQuality</vt:lpstr>
      <vt:lpstr>Devices</vt:lpstr>
      <vt:lpstr>Einfamilienhaus</vt:lpstr>
      <vt:lpstr>ElectricityProducerType</vt:lpstr>
      <vt:lpstr>ElectronicsQualities</vt:lpstr>
      <vt:lpstr>EMS_ExpertCode</vt:lpstr>
      <vt:lpstr>EnergyManagementSystemType</vt:lpstr>
      <vt:lpstr>EnergySources</vt:lpstr>
      <vt:lpstr>ExpansionDegrees</vt:lpstr>
      <vt:lpstr>ExpertCodes</vt:lpstr>
      <vt:lpstr>FacadeStructure</vt:lpstr>
      <vt:lpstr>FanType</vt:lpstr>
      <vt:lpstr>FloorType</vt:lpstr>
      <vt:lpstr>GeneralCondition</vt:lpstr>
      <vt:lpstr>GroundPlanType</vt:lpstr>
      <vt:lpstr>HeatEmission</vt:lpstr>
      <vt:lpstr>HeaterExpertCodes</vt:lpstr>
      <vt:lpstr>HeatExchangerType</vt:lpstr>
      <vt:lpstr>HeatingFlows</vt:lpstr>
      <vt:lpstr>HeatingSupplyType</vt:lpstr>
      <vt:lpstr>HeatingType</vt:lpstr>
      <vt:lpstr>HeatProducerCondition</vt:lpstr>
      <vt:lpstr>Speicher!HeatProducerExpertCodes</vt:lpstr>
      <vt:lpstr>HeatProducerExpertCodes</vt:lpstr>
      <vt:lpstr>HeatProducerOversize</vt:lpstr>
      <vt:lpstr>HeatProducerTypes</vt:lpstr>
      <vt:lpstr>HeatUnit</vt:lpstr>
      <vt:lpstr>HeizungsspeichervolumeninLiter</vt:lpstr>
      <vt:lpstr>Hotel</vt:lpstr>
      <vt:lpstr>HotelType</vt:lpstr>
      <vt:lpstr>HpExpertCodes</vt:lpstr>
      <vt:lpstr>InOutThermalEnvelope</vt:lpstr>
      <vt:lpstr>LightingQuality</vt:lpstr>
      <vt:lpstr>Mehrfamilienhaus</vt:lpstr>
      <vt:lpstr>Orientation</vt:lpstr>
      <vt:lpstr>OrientationH</vt:lpstr>
      <vt:lpstr>OrientationHExtended</vt:lpstr>
      <vt:lpstr>OtherConsumerType</vt:lpstr>
      <vt:lpstr>PartialBool</vt:lpstr>
      <vt:lpstr>Projekt!Print_Area</vt:lpstr>
      <vt:lpstr>Prioritization</vt:lpstr>
      <vt:lpstr>Quality</vt:lpstr>
      <vt:lpstr>ReservoirType</vt:lpstr>
      <vt:lpstr>Restaurant</vt:lpstr>
      <vt:lpstr>RestaurantType</vt:lpstr>
      <vt:lpstr>RoofCeilingType</vt:lpstr>
      <vt:lpstr>RoofType</vt:lpstr>
      <vt:lpstr>Schule</vt:lpstr>
      <vt:lpstr>ShopType</vt:lpstr>
      <vt:lpstr>SpExpertCodes</vt:lpstr>
      <vt:lpstr>StandardVentilationType</vt:lpstr>
      <vt:lpstr>SuppliedDistributionSystems</vt:lpstr>
      <vt:lpstr>ThermalBridgeType</vt:lpstr>
      <vt:lpstr>Title</vt:lpstr>
      <vt:lpstr>UnknownBool</vt:lpstr>
      <vt:lpstr>Verkauf</vt:lpstr>
      <vt:lpstr>WallOpeningType</vt:lpstr>
      <vt:lpstr>WallType</vt:lpstr>
      <vt:lpstr>WarmWaterWarmKeeping</vt:lpstr>
      <vt:lpstr>WeatherStations</vt:lpstr>
      <vt:lpstr>WS10ExpertCodes</vt:lpstr>
      <vt:lpstr>WS12ExpertCodes</vt:lpstr>
      <vt:lpstr>WS13ExpertCodes</vt:lpstr>
      <vt:lpstr>WS14ExpertCodes</vt:lpstr>
      <vt:lpstr>WS15ExpertCodes</vt:lpstr>
      <vt:lpstr>WS16ExpertCodes</vt:lpstr>
      <vt:lpstr>WS17ExpertCodes</vt:lpstr>
      <vt:lpstr>WS18ExpertCodes</vt:lpstr>
      <vt:lpstr>WS20ExpertCodes</vt:lpstr>
      <vt:lpstr>WS2ExpertCodes</vt:lpstr>
      <vt:lpstr>WS3ExpertCodes</vt:lpstr>
      <vt:lpstr>WS4ExpertCodes</vt:lpstr>
      <vt:lpstr>WS5ExpertCodes</vt:lpstr>
      <vt:lpstr>WS6ExpertCodes</vt:lpstr>
      <vt:lpstr>WS9ExpertCodes</vt:lpstr>
    </vt:vector>
  </TitlesOfParts>
  <Company>Elca Informatique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Jordan</dc:creator>
  <cp:lastModifiedBy>Zaida Mengelt</cp:lastModifiedBy>
  <cp:lastPrinted>2012-04-05T14:07:14Z</cp:lastPrinted>
  <dcterms:created xsi:type="dcterms:W3CDTF">2012-03-22T10:41:07Z</dcterms:created>
  <dcterms:modified xsi:type="dcterms:W3CDTF">2026-04-15T13:42:25Z</dcterms:modified>
</cp:coreProperties>
</file>